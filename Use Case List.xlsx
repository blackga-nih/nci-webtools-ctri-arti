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C:\Users\lij46\Desktop\NCI Eagle\To Present\"/>
    </mc:Choice>
  </mc:AlternateContent>
  <xr:revisionPtr revIDLastSave="19" documentId="13_ncr:1_{0EB3A9A5-1434-4457-A59F-8C314B818E50}" xr6:coauthVersionLast="47" xr6:coauthVersionMax="47" xr10:uidLastSave="{0EA67A5E-AAFB-4550-BB61-0929CE1E5C7E}"/>
  <bookViews>
    <workbookView xWindow="-51300" yWindow="-103" windowWidth="25809" windowHeight="13886" firstSheet="1" activeTab="2" xr2:uid="{4766A290-3D52-4C14-9A03-3758A44AE63D}"/>
  </bookViews>
  <sheets>
    <sheet name="use case list" sheetId="1" r:id="rId1"/>
    <sheet name="MVP summary" sheetId="2" r:id="rId2"/>
    <sheet name="Baseline questions" sheetId="3" r:id="rId3"/>
  </sheets>
  <calcPr calcId="191028"/>
  <pivotCaches>
    <pivotCache cacheId="1576"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3" l="1"/>
  <c r="A5" i="3" s="1"/>
  <c r="A6" i="3" s="1"/>
  <c r="A7" i="3" s="1"/>
  <c r="A8" i="3" s="1"/>
  <c r="A9" i="3" s="1"/>
</calcChain>
</file>

<file path=xl/sharedStrings.xml><?xml version="1.0" encoding="utf-8"?>
<sst xmlns="http://schemas.openxmlformats.org/spreadsheetml/2006/main" count="387" uniqueCount="233">
  <si>
    <t>Use Case No</t>
  </si>
  <si>
    <t>MVP</t>
  </si>
  <si>
    <t>Use Case Name</t>
  </si>
  <si>
    <t>User</t>
  </si>
  <si>
    <t>Scenario</t>
  </si>
  <si>
    <t>Outcome</t>
  </si>
  <si>
    <t>Role</t>
  </si>
  <si>
    <t>Threshold</t>
  </si>
  <si>
    <t>FAR Part</t>
  </si>
  <si>
    <t>Value</t>
  </si>
  <si>
    <t>Use Case 1</t>
  </si>
  <si>
    <t>MVP1</t>
  </si>
  <si>
    <t xml:space="preserve"> New IT Services Acquisition — Full Package Generation</t>
  </si>
  <si>
    <t>COR at NCI</t>
  </si>
  <si>
    <t>Acquisition of cloud hosting services; estimated value $750K</t>
  </si>
  <si>
    <t>Complete pre-award file generated in 30 minutes instead of 2 weeks</t>
  </si>
  <si>
    <t>SUPERVISOR</t>
  </si>
  <si>
    <t>Above SAT</t>
  </si>
  <si>
    <t>FAR Part 15</t>
  </si>
  <si>
    <t>$750K</t>
  </si>
  <si>
    <t>Use Case 2</t>
  </si>
  <si>
    <t xml:space="preserve"> Rapid GSA Schedule Purchase </t>
  </si>
  <si>
    <t>COR needing lab equipment</t>
  </si>
  <si>
    <t>$45K microscope; urgent need; believes GSA Schedule covers it</t>
  </si>
  <si>
    <t>Simplified acquisition package, same-day submission to CO</t>
  </si>
  <si>
    <t>Below SAT</t>
  </si>
  <si>
    <t>FAR Part 8</t>
  </si>
  <si>
    <t>$45K</t>
  </si>
  <si>
    <t>Use Case 2.1</t>
  </si>
  <si>
    <t xml:space="preserve"> Rapid GSA Schedule Purchase – Micro Purchase scenario</t>
  </si>
  <si>
    <t>$15K microscope; urgent need; believes GSA Schedule covers it</t>
  </si>
  <si>
    <t>Micro purchase package, same-day submission to CO</t>
  </si>
  <si>
    <t>micro purchase</t>
  </si>
  <si>
    <t>$14K</t>
  </si>
  <si>
    <t>Use Case 3</t>
  </si>
  <si>
    <t xml:space="preserve"> Sole Source Justification &lt;SAT</t>
  </si>
  <si>
    <t>COR with technical requirement only one vendor can meet</t>
  </si>
  <si>
    <t>$280K software maintenance; only original manufacturer qualified</t>
  </si>
  <si>
    <t>Defensible sole-source package with documented protest mitigation</t>
  </si>
  <si>
    <t>FAR Part 6</t>
  </si>
  <si>
    <t>$280K</t>
  </si>
  <si>
    <t>Use Case 4</t>
  </si>
  <si>
    <t xml:space="preserve"> FAR Part 15 Competitive Range Determination</t>
  </si>
  <si>
    <t>COR</t>
  </si>
  <si>
    <t>Do we have to keep all offerors in competitive range?</t>
  </si>
  <si>
    <t>Clear regulatory explanation with practical guidance</t>
  </si>
  <si>
    <t>COMPLIANCE STRATEGIST</t>
  </si>
  <si>
    <t>N/A</t>
  </si>
  <si>
    <t>Use Case 5</t>
  </si>
  <si>
    <t>MVP2</t>
  </si>
  <si>
    <t xml:space="preserve"> Buy American Act (BAA) / Trade Agreements Act (TAA) Compliance</t>
  </si>
  <si>
    <t>COR acquiring foreign-manufactured equipment</t>
  </si>
  <si>
    <t>Italian-manufactured research instrument, $150K</t>
  </si>
  <si>
    <t>Compliant approach with specific solicitation language</t>
  </si>
  <si>
    <t>FAR Part 25</t>
  </si>
  <si>
    <t>$150K</t>
  </si>
  <si>
    <t>Use Case 6</t>
  </si>
  <si>
    <t xml:space="preserve"> NIH Policy Interpretation — Consultant Rates</t>
  </si>
  <si>
    <t>Whether $400/hour consultant rate is allowable</t>
  </si>
  <si>
    <t>Policy-compliant process for consultant rate determination</t>
  </si>
  <si>
    <t>NIH Policy</t>
  </si>
  <si>
    <t>Use Case 7</t>
  </si>
  <si>
    <t>MVP3</t>
  </si>
  <si>
    <t xml:space="preserve"> Pre-Award Protest Risk Assessment</t>
  </si>
  <si>
    <t>CO asks EAGLE to review Draft RFP for protest vulnerability</t>
  </si>
  <si>
    <t>$5M R&amp;D services, multiple evaluation factors</t>
  </si>
  <si>
    <t>Protest-hardened solicitation before release</t>
  </si>
  <si>
    <t>LEGAL COUNSELOR</t>
  </si>
  <si>
    <t>$5M</t>
  </si>
  <si>
    <t>Warning instead of error</t>
  </si>
  <si>
    <t>Low Priority</t>
  </si>
  <si>
    <t>Use Case 8</t>
  </si>
  <si>
    <t xml:space="preserve"> Active GAO Protest Response Support</t>
  </si>
  <si>
    <t>CO has received GAO protest, needs to understand stay provisions</t>
  </si>
  <si>
    <t>Evaluation protest prior to award</t>
  </si>
  <si>
    <t>Legally sound protest response process</t>
  </si>
  <si>
    <t>31 U.S.C. §3553</t>
  </si>
  <si>
    <t>Use Case 9</t>
  </si>
  <si>
    <t xml:space="preserve"> Data Rights Determination</t>
  </si>
  <si>
    <t>COR developing AI/ML software contract, unclear what rights government needs</t>
  </si>
  <si>
    <t>$1.2M AI/ML development contract</t>
  </si>
  <si>
    <t>Balanced data rights strategy protecting both interests</t>
  </si>
  <si>
    <t>FAR 52.227-14</t>
  </si>
  <si>
    <t>$1.2M</t>
  </si>
  <si>
    <t>Use Case 10</t>
  </si>
  <si>
    <t xml:space="preserve"> IGCE Development for Complex Services</t>
  </si>
  <si>
    <t>COR needs IGCE for clinical research support services</t>
  </si>
  <si>
    <t>Multiple labor categories, ODCs, 3-year period</t>
  </si>
  <si>
    <t>Defensible IGCE supporting cost realism evaluation</t>
  </si>
  <si>
    <t>FINANCIAL ADVISOR</t>
  </si>
  <si>
    <t>Use Case 11</t>
  </si>
  <si>
    <t xml:space="preserve"> Fiscal Law — Bona Fide Needs Rule</t>
  </si>
  <si>
    <t>Use of FY26 funds for training in October FY27</t>
  </si>
  <si>
    <t>Compliant funding strategy with documented rationale</t>
  </si>
  <si>
    <t>31 U.S.C. §1502</t>
  </si>
  <si>
    <t>Use Case 12</t>
  </si>
  <si>
    <t xml:space="preserve"> Cost Realism vs. Price Reasonableness</t>
  </si>
  <si>
    <t>Which analysis applies to FFP contract</t>
  </si>
  <si>
    <t>Correct evaluation method applied</t>
  </si>
  <si>
    <t>Use Case 13</t>
  </si>
  <si>
    <t xml:space="preserve"> Small Business Set-Aside Determination</t>
  </si>
  <si>
    <t>$450K IT services requirement</t>
  </si>
  <si>
    <t>Rule of two satisfied, compliant set-aside decision</t>
  </si>
  <si>
    <t>MARKET INTELLIGENCE</t>
  </si>
  <si>
    <t>FAR Part 19</t>
  </si>
  <si>
    <t>$450K</t>
  </si>
  <si>
    <t>Use Case 14</t>
  </si>
  <si>
    <t xml:space="preserve"> GSA Schedule vs. Full Competition Analysis</t>
  </si>
  <si>
    <t>$600K services acquisition approach decision</t>
  </si>
  <si>
    <t>Justified acquisition strategy with time/cost analysis</t>
  </si>
  <si>
    <t>FAR Part 8 / 15</t>
  </si>
  <si>
    <t>$600K</t>
  </si>
  <si>
    <t>Use Case 15</t>
  </si>
  <si>
    <t xml:space="preserve"> Pricing Benchmark Analysis</t>
  </si>
  <si>
    <t>$185/hr senior analyst labor rate</t>
  </si>
  <si>
    <t>Data-driven price negotiation position</t>
  </si>
  <si>
    <t>Use Case 16</t>
  </si>
  <si>
    <t xml:space="preserve"> Converting Technical Requirements to Contract Language</t>
  </si>
  <si>
    <t>Program scientist provides 8-page technical spec with jargon</t>
  </si>
  <si>
    <t>Genomic sequencing services</t>
  </si>
  <si>
    <t>SOW that technical and acquisition staff both understand</t>
  </si>
  <si>
    <t>TECHNICAL TRANSLATOR</t>
  </si>
  <si>
    <t>FAR Part 11</t>
  </si>
  <si>
    <t>Use Case 17</t>
  </si>
  <si>
    <t xml:space="preserve"> Agile Software Development SOW</t>
  </si>
  <si>
    <t>Agile software development acquisition</t>
  </si>
  <si>
    <t>Agile-compatible SOW within FAR framework</t>
  </si>
  <si>
    <t>FAR Part 39</t>
  </si>
  <si>
    <t>Use Case 18</t>
  </si>
  <si>
    <t xml:space="preserve"> Organizational Conflict of Interest (OCI) Assessment</t>
  </si>
  <si>
    <t>COR concerned that contractor helping write SOW could compete</t>
  </si>
  <si>
    <t>$2M systems engineering contract</t>
  </si>
  <si>
    <t>Legally defensible OCI mitigation approach</t>
  </si>
  <si>
    <t>PUBLIC INTEREST GUARDIAN</t>
  </si>
  <si>
    <t>FAR Part 9</t>
  </si>
  <si>
    <t>$2M</t>
  </si>
  <si>
    <t>Use Case 19</t>
  </si>
  <si>
    <t xml:space="preserve"> Ethics Review — Potential Appearance Issue</t>
  </si>
  <si>
    <t>COR notes that one expected offeror employs former NIH employee</t>
  </si>
  <si>
    <t>Former government employee left 18 months ago</t>
  </si>
  <si>
    <t>Ethics risk identified and escalated appropriately</t>
  </si>
  <si>
    <t>18 U.S.C. §207</t>
  </si>
  <si>
    <t>Use Case 20</t>
  </si>
  <si>
    <t xml:space="preserve"> Transparency and Documentation for High-Visibility Acquisition</t>
  </si>
  <si>
    <t>CO notes this $15M contract will likely get congressional attention</t>
  </si>
  <si>
    <t>COVID research services</t>
  </si>
  <si>
    <t>Acquisition structured for transparency and accountability</t>
  </si>
  <si>
    <t>$15M</t>
  </si>
  <si>
    <t>Use Case 21</t>
  </si>
  <si>
    <t xml:space="preserve"> Policy Question Routing</t>
  </si>
  <si>
    <t>Policy staff</t>
  </si>
  <si>
    <t>Are acquisition templates up to date with FAC 2025-06?</t>
  </si>
  <si>
    <t>Actionable KB maintenance task list</t>
  </si>
  <si>
    <t>POLICY SUPERVISOR</t>
  </si>
  <si>
    <t>FAC 2025-06</t>
  </si>
  <si>
    <t>Use Case 22</t>
  </si>
  <si>
    <t xml:space="preserve"> Cross-Specialist Coordination</t>
  </si>
  <si>
    <t>What do CORs struggle with most in sole source justifications?</t>
  </si>
  <si>
    <t>Strategic policy improvement recommendation</t>
  </si>
  <si>
    <t>Use Case 23</t>
  </si>
  <si>
    <t xml:space="preserve"> Contradiction Detection Audit</t>
  </si>
  <si>
    <t>Specific, actionable KB corrections</t>
  </si>
  <si>
    <t>POLICY LIBRARIAN</t>
  </si>
  <si>
    <t>Use Case 24</t>
  </si>
  <si>
    <t xml:space="preserve"> Coverage Gap Analysis</t>
  </si>
  <si>
    <t>Strategic KB development roadmap</t>
  </si>
  <si>
    <t>FAR Part 12</t>
  </si>
  <si>
    <t>Use Case 25</t>
  </si>
  <si>
    <t xml:space="preserve"> Staleness Detection – Regulatory Changes</t>
  </si>
  <si>
    <t>What KB content is at risk of being outdated?</t>
  </si>
  <si>
    <t>Proactive KB maintenance schedule</t>
  </si>
  <si>
    <t>FAC Updates</t>
  </si>
  <si>
    <t>Use Case 26</t>
  </si>
  <si>
    <t xml:space="preserve"> Regulatory Change Impact Assessment</t>
  </si>
  <si>
    <t>FAC 2026-01 impact on NIH acquisitions</t>
  </si>
  <si>
    <t>Comprehensive regulatory change management plan</t>
  </si>
  <si>
    <t>POLICY ANALYST</t>
  </si>
  <si>
    <t>FAC 2026-01</t>
  </si>
  <si>
    <t>Use Case 27</t>
  </si>
  <si>
    <t xml:space="preserve"> CO Review Pattern Analysis</t>
  </si>
  <si>
    <t>CO review rejection patterns</t>
  </si>
  <si>
    <t>Evidence-based training and system improvements</t>
  </si>
  <si>
    <t>Use Case 28</t>
  </si>
  <si>
    <t xml:space="preserve"> Emerging Trend Analysis – AI Acquisitions</t>
  </si>
  <si>
    <t>Need for AI/ML acquisition guidance</t>
  </si>
  <si>
    <t>Strategic KB expansion aligned with mission needs</t>
  </si>
  <si>
    <t>AI EO / FAR</t>
  </si>
  <si>
    <t>Use Case 29</t>
  </si>
  <si>
    <t xml:space="preserve"> End-to-End Acquisition Support</t>
  </si>
  <si>
    <t>COR starting new $3.5M R&amp;D services acquisition</t>
  </si>
  <si>
    <t>Complex multi-phase requirement</t>
  </si>
  <si>
    <t>Comprehensive $3.5M acquisition package with all regulatory requirements addressed</t>
  </si>
  <si>
    <t>CROSS-ROLE</t>
  </si>
  <si>
    <t>Multiple</t>
  </si>
  <si>
    <t>$3.5M</t>
  </si>
  <si>
    <t>Use Case 30</t>
  </si>
  <si>
    <t xml:space="preserve"> Crisis Acquisition Support</t>
  </si>
  <si>
    <t>COR needs to rapidly acquire pandemic research supplies</t>
  </si>
  <si>
    <t>Urgent need, limited competition, high visibility</t>
  </si>
  <si>
    <t>Fastest compliant acquisition approach with documented risks</t>
  </si>
  <si>
    <t>FAR Part 6 / 18</t>
  </si>
  <si>
    <t>Row Labels</t>
  </si>
  <si>
    <t>Count of Use Case No</t>
  </si>
  <si>
    <t>MVP 1</t>
  </si>
  <si>
    <t>Technical Capability</t>
  </si>
  <si>
    <t>Download Package and no integration with SharePoint, Teams or outlook. User manually set the package status</t>
  </si>
  <si>
    <t>Integration with SharePoint,  Teams or Outlook.  Package status automatically set by user actions or existing contract system such as Merlin</t>
  </si>
  <si>
    <t>Grand Total</t>
  </si>
  <si>
    <t>No</t>
  </si>
  <si>
    <t>Menu Option</t>
  </si>
  <si>
    <t>Category</t>
  </si>
  <si>
    <t>Test Questions</t>
  </si>
  <si>
    <t>Research Optimizer Response</t>
  </si>
  <si>
    <t>Agent</t>
  </si>
  <si>
    <t>Ask Question</t>
  </si>
  <si>
    <t>KB</t>
  </si>
  <si>
    <t>What are the simplified acquisition threshold and micro-purchase threshold under FAC 2025-06?</t>
  </si>
  <si>
    <t>compliance-strategist/PMR-checklists/HHS_PMR_Threshold_Matrix.txt
2589 chars
Reasoning…
think
Per the KB's HHS PMR Threshold Matrix, effective October 1, 2025 under FAC 2025-06:
Threshold	Amount
Micro-Purchase Threshold (MPT)	$15,000
Simplified Acquisition Threshold (SAT)	$350,000
Quick practical notes:
Above MPT ($15,000): Small business review (HHS-653 form) required and set-aside consideration kicks in.
Above SAT ($350,000): Full Acquisition Plan required, HHS Market Research Report Template required, enhanced competition requirements apply, J&amp;A required for sole source, and CPARS evaluations required.</t>
  </si>
  <si>
    <t>Compliance Strategist</t>
  </si>
  <si>
    <t>What did GAO hold in B-302358 regarding IDIQ minimum obligation requirements?</t>
  </si>
  <si>
    <t>The case file exists at legal-counselor/appropriations-law/GAO_B-302358_IDIQ_Min_Fund.txt. Let me pull it.
legal-counselor/appropriations-law/GAO_B-302358_IDIQ_Min_Fund.txt
28370 chars
financial-advisor/appropriations-law/appropriations_law_IDIQ_funding.txt
18283 chars
Here's what GAO held in B-302358 (Bureau of Customs and Border Protection, Dec. 27, 2004):
GAO B-302358 — Two Core Holdings
Holding 1: IDIQ Minimum Must Be Obligated at Contract Award
The Rule: When an agency executes an IDIQ contract, it must record an obligation for the entire guaranteed minimum at the moment of contract execution — not when the first task order is issued.
Legal Basis: 31 U.S.C. § 1501(a) (the Recording Statute) requires agencies to record obligations when legal liability is incurred. FAR Clause 52.216-22's mandatory "shall order" language creates that legal liability immediately at award.
"By using the words 'shall order,' the contract indicates that the government is liable to the contractor for the minimum specified in the contract... This is so whether the agency ever issues a task order or not, and is so immediately upon contract award."
What Customs did wrong: Awarded an IDIQ with a $25M minimum on February 11, 2003 but obligated only $45,000 from FY 2003 funds, then obligated $955,000 from FY 2004 funds on subsequent task orders. GAO found both failures violated the recording statute and potentially the Antideficiency Act — the argument that the minimum had since been satisfied by task orders was irrelevant.
Remedies required: Deobligate $955K from FY 2004, re-obligate from FY 2003, and determine whether an Antideficiency Act violation occurred.
Holding 2: IDIQ ≠ Multiyear Contract Under 41 U.S.C. § 254c
GAO squarely held the ACE contract was an IDIQ contract, not a multiyear contract under the Federal Acquisition Streamlining Act.
Why they're incompatible:
Element	Multiyear (§ 254c)	IDIQ (FAR 16.504)
Quantities	Buys firm quantities for multiple years	Cannot predetermine quantities above minimum
Need	Must be "reasonably firm and continuing"	By definition, indefinite
Advance obligation	Requires obligating termination costs in advance	Only minimum obligated at award
"A single contract cannot satisfy these wholly inconsistent sets of statutory and regulatory requirements."
The fact that the contract file included FAR 52.217-2 (Cancellation Under Multiyear Contracts) and a multiyear D&amp;F was irrelevant — contract substance controls over erroneous labels. GAO attributed the confusion to the "partial homonymy" of "multiyear" vs. "multiple year."
Practical Takeaways for NIH
Obligate at award, full stop. The $X minimum goes on the books on award day using the fiscal year of award appropriation — regardless of when task orders will actually be issued.
Subsequent task orders: Once the minimum is exhausted, each task order is a new, separate obligation chargeable to the fiscal year in which the order is placed.
Interagency agreements: Both the performing agency and the funding agency must obligate — same amount, same fiscal year.
Terminology discipline: A 5-year IDIQ or a base + 4 option-year contract is a multiple-year contract — never a multiyear contract under § 254c. Don't let the terms get confused in your contract files.
The companion cases in the KB are B-321640 (the "parking funds" violation — can't obligate an IDIQ minimum without a genuine bona fide need) and B-308969 (interagency IDIQ funding). Together, these three cases form the complete IDIQ funding doctrine.</t>
  </si>
  <si>
    <t>Legal and Financial Advisor</t>
  </si>
  <si>
    <t>How does the severable vs. non-severable distinction affect which fiscal year's appropriation must fund a contract?</t>
  </si>
  <si>
    <t>compliance-strategist/regulatory-policies/appropriations_law_severable_services.txt
17549 chars
financial-advisor/appropriations-law/appropriations_law_severable_services.txt
17549 chars
This is a foundational appropriations law question — here's the full picture per the KB (GAO Red Book, Chapter 5).
Severable vs. Non-Severable: The Fiscal Year Funding Rule
The distinction controls a single critical question: whose money pays for what?
The Core Rule
Non-Severable	Severable
Definition	Single undertaking — tasks are interdependent, value derives from complete performance	Recurring/continuing services — each period's work has independent value
Funding rule	Entire contract may be obligated from the appropriation current when the contract is awarded	Each fiscal year's services must be funded with that fiscal year's appropriation
Multi-year performance	✅ Permissible on a single year's funds	⚠️ Requires incremental funding across fiscal years
Risk of error	Low — simpler funding	Potential Antideficiency Act violation if wrong FY funds used
The GAO Legal Standard
"The question is whether the contract is essentially for a single undertaking or job, or whether it may reasonably be said to envision a series of separate tasks." — GAO Red Book, Vol. I, Chapter 5, Section B.4
Severability is determined by the nature of the services, not contract language, duration, or how the CO chooses to write it. You cannot make a severable contract non-severable by labeling it differently.
Five Analytical Factors
Nature of deliverable — Single final product/report → non-severable; recurring outputs → severable
Task interdependence — Phases building toward unified goal → non-severable; independent, repetitive tasks → severable
Time divisibility — Cannot logically divide by time period → non-severable; each period stands alone → severable
Source of value — Value only from complete performance → non-severable; value from each period → severable
Purpose of contract — Accomplish specific objective → non-severable; provide ongoing capability → severable
Concrete Examples
Non-Severable (fund entirely from year of award):
Program evaluation with final report
System audit → single audit opinion
Custom software development toward defined system
A/E design for a specific facility
Penetration test with final report
Litigation support for a specific case
Severable (must incrementally fund by fiscal year):
Help desk / IT operations and monitoring
Maintenance and repair
Guard services / janitorial
Subscription/SaaS licenses
Administrative support
Security Operations Center (SOC) monitoring
Ongoing vulnerability management
Gray areas requiring analysis:
Agile development → non-severable if sprints build toward a defined system; potentially severable if open-ended enhancement
Project management → follows the underlying project's severability
Consulting → non-severable if producing a specific deliverable; severable if ongoing advisory with no defined end product
Worked Funding Examples
Non-Severable (Oct 1, 2025 – Mar 31, 2026, $600K system audit): ✅ Obligate entire $600K from FY 2025 funds at award. Performance bleeding into FY 2026 is fine — the whole undertaking is a FY 2025 bona fide need.
Severable (Oct 1, 2025 – Sep 30, 2026, $1.2M help desk at $100K/month): ✅ FY 2025 funds: $300K (Oct–Dec 2025) ✅ FY 2026 funds: $900K (Jan–Sep 2026) ❌ Cannot obligate the full $1.2M from FY 2025 funds
Short Bridge Exception (Aug 1 – Oct 31, 2025, $150K systems admin): ✅ May obligate entire $150K from FY 2025 funds — a short one-month bridge across the fiscal year boundary to avoid a service gap is administratively acceptable.
Required Contract Clauses for Severable Cross-Year Contracts
FAR 52.232-22 — Limitation of Funds (cost-reimbursement)
FAR 52.232-20 — Limitation of Cost (cost-reimbursement)
FAR 52.232-19 — Availability of Funds for the Next Fiscal Year
The Three Mistakes to Avoid
Common Error	Truth
"All service contracts are severable"	Studies, audits, specific projects are non-severable
"Crossing fiscal years means it's severable"	Non-severable contracts routinely cross fiscal years on a single year's funds
"We can make it non-severable by writing it that way"	Nature of services controls, not contract language — you cannot draft around the bona fide needs rule
Bottom line: Get the severability determination right before you structure funding. A wrong call on a severable contract that crosses September 30 — obligating next year's services with this year's money — is a potential Antideficiency Act violation. For contracts over $1M with ambiguous severability, loop in OGC.
Scroll to bottom</t>
  </si>
  <si>
    <t>Compliance Strategist and financial advisor</t>
  </si>
  <si>
    <t>What are the fair opportunity exceptions that allow a single-award task order under FAR 16.505?</t>
  </si>
  <si>
    <t>Per my current threshold data (FAC 2025-06, effective October 1, 2025):
Micro-Purchase Threshold: $15,000
Simplified Acquisition Threshold (SAT): $350,000
These apply to most standard acquisitions. Note that higher micro-purchase thresholds apply in specific circumstances — $25,000 for acquisitions of commercial products/services using the purchase card outside the U.S., and $20,000 for acquisitions by or for defense agencies in contingency operations. Want me to check the KB for any NIH-specific guidance on top of these?</t>
  </si>
  <si>
    <t>compliance-strategist/FAR-guidance/FAR_Part_16_IDIQ_Comprehensive_RFO_2025.txt
71196 chars
compliance-strategist/FAR-guidance/FAR_Part_16_Contract_Types_RFO_2025.txt
18174 chars
Reasoning…
think
Per FAR 16.507-6 (as updated under the RFO, effective November 2025 with HHS Class Deviation 2026-01), there are six exceptions that permit a sole-source task or delivery order on a multiple-award IDIQ contract. Here's the complete picture:
The Six Exceptions to Fair Opportunity (FAR 16.507-6(b))
#	Exception	Key Condition
1	Urgency	Agency need is so urgent that providing fair opportunity would result in unacceptable delays
2	Only one capable	Only one awardee is capable of providing the supplies/services at the required quality level because they are unique or highly specialized
3	Logical follow-on	Economy and efficiency — order is a logical follow-on to an order already issued under the contract, provided all awardees had a fair opportunity on the original order
4	Minimum guarantee	Order is necessary to satisfy the IDIQ contract's minimum guarantee
5	Statute requires	A statute expressly authorizes or requires purchase from a specified source (only available for orders exceeding the SAT)
6	FAR 6.103 exceptions	One of the Part 6 other-than-full-and-open-competition exceptions applies (DoD, NASA, and Coast Guard only)
Note: Small business set-aside orders and orders placed under reserves are not subject to the justification, approval, and posting requirements below. Per FAR 16.507-6(c), Part 19 authority operates independently.
Documentation Requirements
For orders above MPT but at or below SAT ($350K):
Document the basis for using the exception in the contract file
If using the logical follow-on exception, describe why the relationship is logical (scope, period of performance, or value)
For orders above the SAT ($350K+): A full written "Justification for an Exception to Fair Opportunity" is required, containing at minimum:
Agency/contracting activity identification; label the document as a "Justification for an Exception to Fair Opportunity"
Nature/description of the action
Description of supplies/services and estimated value
Identification of the exception used and supporting rationale, including demonstration of unique qualifications or nature of acquisition
Determination that anticipated cost is fair and reasonable
Supporting facts
Statement of actions to remove/overcome barriers before next acquisition
CO certification that justification is accurate and complete
Technical/requirements personnel certification of supporting data
Written determination by approving official that a paragraph (b) exception applies
Approval Levels
Order Value	Approving Official
Above SAT, ≤ $900,000	Contracting Officer (self-certification)
&gt; $900,000 to ≤ $20M	Advocate for Competition (not delegable)
&gt; $20M to ≤ $90M	Head of Procuring Activity (or SES/GO/FO designee)
&gt; $90M	Senior Procurement Executive (not delegable)
Posting Requirements
Exception	Posting Deadline
All exceptions (general)	Within 14 days of award
Urgency (Exception 1)	Within 30 days of award
Posted to: SAM.gov and agency website, minimum 30 days. Contracting officers must screen for and redact contractor proprietary data before posting.
Exception to posting: Disclosure would compromise national security or create security risks.
Protest Exposure
One practical note worth keeping in mind: most task orders are not protestable to GAO, but orders can be protested on grounds that they increase the scope, period, or maximum value of the contract — which is a risk if the "logical follow-on" or "only one capable" exception is used loosely. For civilian agencies (including NIH/HHS), orders above $10 million are also protestable to GAO. Structure your justification carefully at those thresholds.</t>
  </si>
  <si>
    <t>Model</t>
  </si>
  <si>
    <t>An offeror eliminated from a SBIR competition simultaneously requests a debriefing and files a protest on Day 8 after receiving the elimination notice. The debriefing hasn't been provided yet. Walk through the correct procedural sequence, applicable protest timeliness rules, and how the choice between pre-award and post-award debriefing affects the protest stay and timeline.</t>
  </si>
  <si>
    <t>compliance-strategist/FAR-guidance/FAR_Part_16_IDIQ_Comprehensive_RFO_2025.txt
71196 chars
compliance-strategist/FAR-guidance/FAR_Part_16_Contract_Types_RFO_2025.txt
18174 chars
Reasoning…
think
Per FAR 16.507-6 (as updated under the RFO, effective November 2025 with HHS Class Deviation 2026-01), there are six exceptions that permit a sole-source task or delivery order on a multiple-award IDIQ contract. Here's the complete picture:
The Six Exceptions to Fair Opportunity (FAR 16.507-6(b))
#	Exception	Key Condition
1	Urgency	Agency need is so urgent that providing fair opportunity would result in unacceptable delays
2	Only one capable	Only one awardee is capable of providing the supplies/services at the required quality level because they are unique or highly specialized
3	Logical follow-on	Economy and efficiency — order is a logical follow-on to an order already issued under the contract, provided all awardees had a fair opportunity on the original order
4	Minimum guarantee	Order is necessary to satisfy the IDIQ contract's minimum guarantee
5	Statute requires	A statute expressly authorizes or requires purchase from a specified source (only available for orders exceeding the SAT)
6	FAR 6.103 exceptions	One of the Part 6 other-than-full-and-open-competition exceptions applies (DoD, NASA, and Coast Guard only)
Note: Small business set-aside orders and orders placed under reserves are not subject to the justification, approval, and posting requirements below. Per FAR 16.507-6(c), Part 19 authority operates independently.
Documentation Requirements
For orders above MPT but at or below SAT ($350K):
Document the basis for using the exception in the contract file
If using the logical follow-on exception, describe why the relationship is logical (scope, period of performance, or value)
For orders above the SAT ($350K+): A full written "Justification for an Exception to Fair Opportunity" is required, containing at minimum:
Agency/contracting activity identification; label the document as a "Justification for an Exception to Fair Opportunity"
Nature/description of the action
Description of supplies/services and estimated value
Identification of the exception used and supporting rationale, including demonstration of unique qualifications or nature of acquisition
Determination that anticipated cost is fair and reasonable
Supporting facts
Statement of actions to remove/overcome barriers before next acquisition
CO certification that justification is accurate and complete
Technical/requirements personnel certification of supporting data
Written determination by approving official that a paragraph (b) exception applies
Approval Levels
Order Value	Approving Official
Above SAT, ≤ $900,000	Contracting Officer (self-certification)
&gt; $900,000 to ≤ $20M	Advocate for Competition (not delegable)
&gt; $20M to ≤ $90M	Head of Procuring Activity (or SES/GO/FO designee)
&gt; $90M	Senior Procurement Executive (not delegable)
Posting Requirements
Exception	Posting Deadline
All exceptions (general)	Within 14 days of award
Urgency (Exception 1)	Within 30 days of award
Posted to: SAM.gov and agency website, minimum 30 days. Contracting officers must screen for and redact contractor proprietary data before posting.
Exception to posting: Disclosure would compromise national security or create security risks.
Protest Exposure
One practical note worth keeping in mind: most task orders are not protestable to GAO, but orders can be protested on grounds that they increase the scope, period, or maximum value of the contract — which is a risk if the "logical follow-on" or "only one capable" exception is used loosely. For civilian agencies (including NIH/HHS), orders above $10 million are also protestable to GAO. Structure your justification carefully at those thresholds.
An offeror eliminated from a SBIR competition simultaneously requests a debriefing and files a protest on Day 8 after receiving the elimination notice. The debriefing hasn't been provided yet. Walk through the correct procedural sequence, applicable protest timeliness rules, and how the choice between pre-award and post-award debriefing affects the protest stay and timeline.
legal-counselor/protest-guidance/
308 files
compliance-strategist/NIH-policies/NIH_6315_1_RD_Contracts_Part1_Presolicitation.txt
39653 chars
legal-counselor/protest-guidance/GAO_Bid_Protests_Essential_Guide_for_COs.txt
17606 chars
legal-counselor/protest-guidance/NIH_6033_2_Stay_Provisions_Protests.txt
22462 chars
legal-counselor/protest-guidance/JA_Desk_Guide_January_2025_Updated.txt
57126 chars
compliance-strategist/FAR-guidance/FAR_Part_15_Negotiation_RFO_2025.txt
10588 chars
Reasoning…
think
This scenario has several interlocking procedural problems that need to be untangled carefully. Let me work through each layer.
I. The Threshold Problem: The Preaward Debriefing Request Was Untimely
This is the pivotal fact the question buries in the scenario. Per FAR 15.206-2 (formerly FAR 15.505), an offeror excluded from the competitive range must request a preaward debriefing within 3 days of receiving the exclusion notice.
Event	Day	Regulatory Deadline
Exclusion notice received	Day 0	Clock starts
Preaward debriefing request deadline	Day 3	FAR 15.206-2
Offeror requests debriefing + files protest	Day 8	5 days late
The debriefing request on Day 8 is untimely. The agency is not required to provide a preaward debriefing. This has cascading effects on everything that follows.
II. Protest Timeliness Analysis
Is the Day 8 protest timely? Under the general rule — yes.
Per 4 CFR § 21.2(a)(2), all protests must be filed within 10 calendar days after the basis is known or should have been known. The offeror learned of the exclusion on Day 0; the protest filed on Day 8 is within that window.
But does the debriefing exception change this?
The debriefing exception (4 CFR § 21.2(a)(2)) provides:
"Initial protest shall NOT be filed before debriefing date offered. Shall be filed not later than 10 days after date on which debriefing held."
This provision has two important constraints here:
First — scope: The exception applies to debriefings required by FAR 15.505 or 15.506 (now 15.206-2 and 15.301-1). Because the debriefing request was untimely, no debriefing is "required." The agency is under no obligation to provide one. Without a required debriefing, this exception arguably has no application to the Day 8 protest.
Second — effect of premature filing: Where the exception does apply (a valid request was made), the rule prohibiting filing before the debriefing date is designed to encourage offerors to get information first. It doesn't automatically render a premature protest untimely, but GAO may treat the protest as constructively filed on the debriefing date or require amendment.
Bottom line on timeliness: The Day 8 protest is timely under the general 10-day rule. The debriefing exception neither helps nor hurts the offeror here because the debriefing request was untimely and no required debriefing exists.
III. Pre-Award Stay Mechanics
Because no award has been made yet, this is a pre-award protest governed by FAR 33.104(b), not the post-award stay under FAR 33.104(c).
Pre-award automatic stay (FAR 33.104(b)): Once GAO receives and dockets the protest, the agency shall not award the contract while the protest is pending — full stop — unless:
The HCA executes a written D&amp;F of urgent and compelling circumstances that significantly affect the interest of the United States, AND award is likely to occur within 30 calendar days.
At NIH, this requires:
CO prepares and signs the D&amp;F
Routing: IC Director → NIH PCO → HCA
HCA executes (not delegable)
DASAMP (HHS Deputy Assistant Secretary) approves
OGC-GLD facilitates and notifies GAO
This is a high bar. "Best interest of the government" alone is not sufficient for a pre-award stay override — unlike the post-award context where it is.
The 5-days-after-debriefing language in the stay provisions is specifically a post-award construct (FAR 33.104(c)). It is not part of the pre-award stay trigger.
IV. How the Choice Between Preaward and Postaward Debriefing Changes Everything
This is where strategic choices diverge significantly:
Path A: Preaward Debriefing (Window Has Closed)
The offeror missed the Day 3 deadline, so this path is foreclosed unless the agency voluntarily provides a debriefing. Agencies can do so; they are not prohibited from providing late preaward debriefings, but they are not required to.
If the agency does voluntarily provide a preaward debriefing:
The CICA stay extension does not attach (not a "required" FAR 15.505 debriefing)
The protest filing window does not extend — the 10-day clock still runs from Day 0
The protest filed on Day 8 remains the operative filing date
Preaward remedies remain available (reevaluation, return to competitive range)
Path B: Post-Award Debriefing
If the offeror lets the process proceed to award and then requests a postaward debriefing within 3 days of the award notice:
Effect	Impact
Protest clock	10 days runs from date debriefing is held — not from exclusion notice
Pre-filing restriction	Protest cannot be filed before the debriefing date offered
CICA automatic stay	Triggered if protest filed within 5 days of the debriefing date offered
Stay type	Post-award (FAR 33.104(c)) — agency must suspend performance unless HCA D&amp;F
Override standard	"Best interest of the United States" OR "urgent/compelling" (lower bar than pre-award)
Remedies	May include termination, recompete — more disruptive to award
The tradeoff is significant:
Pre-Award Protest (Path A)	Post-Award Protest (Path B)
Information available	Limited — no debriefing	More — full postaward debriefing required
Protest clock	Day 0 + 10 days (Day 10 deadline)	10 days after debriefing held
Stay strength	Stops award automatically	Suspends performance if filed within 5 days of debriefing
Override standard	Urgent/compelling ONLY	Best interest OR urgent/compelling
Remedy if sustained	Return to competitive range, reevaluation	Termination, recompete, or other correction
Strategic leverage	Stops awardee from being selected	Disrupts an ongoing contract
V. The Procedural Sequence the CO Must Follow
Given the Day 8 filing, here is the correct sequence for the CO:
Immediately upon learning of the protest filing:
Notify OGC-GLD and the NIH PCO — per NIH Manual 6033-2, the CO routes through IC Director → NIH PCO. OGC-GLD must be in the loop from day one.
Confirm GAO docketed the protest — GAO files through EPDS (epds.gao.gov). The stay does not trigger on filing alone; it triggers when GAO notifies the agency. Confirm receipt of GAO notice.
Halt award proceedings — The pre-award automatic stay is in effect. No award may be made. Brief the Source Selection Authority immediately.
Evaluate the debriefing request:
Confirm request was received Day 8 (past 3-day deadline for preaward debriefing)
Agency is not required to provide a preaward debriefing
Decision: whether to voluntarily provide one anyway (consult OGC — providing a debriefing during a pending protest requires care to avoid improperly disclosing source-selection-sensitive information per FAR Part 15 and NIH Policy SourceSelectionSensitive.txt)
Determine if urgent/compelling D&amp;F is warranted — evaluate whether SBIR mission needs justify overriding the pre-award stay. Requires HCA + DASAMP approval; a high bar.
Prepare Agency Report — due 30 days after GAO notifies the agency. Must include:
CO signed statement of facts (including best estimate of contract value)
Whether statutory stay is in place
Memorandum of law
All relevant documents: protester's proposal, evaluation records, solicitation, abstract of offers
Protect the record — litigation hold on all evaluation documents, scoring sheets, technical review panel records, peer review materials (SBIR-specific), and all communications.
VI. SBIR-Specific Considerations
NIH Manual 6315-1 confirms SBIR acquisitions use procedures that "differ from 'conventional' contract awards." Two issues specific to SBIRs are worth flagging:
Dual peer review documentation: SBIR requires both peer review of the concept and the proposal. The evaluation record presented to GAO must include the SRG/peer review documentation. The CO's agency report must ensure these are included as "evaluation documents." If peer review methodology is at issue, this is where substantive protest grounds often lie.
Competitive range exclusion in SBIR context: Some SBIR solicitations use non-FAR Part 15 procedures or BAA-style procedures. If this SBIR was conducted under BAA authority (NIH Policy 6035), the FAR 15.206-2 preaward debriefing requirement may not apply in the same way. The CO should verify which authority governed the competition, as it affects the debriefing requirement analysis.
VII. Timeline Summary
Day 0    Exclusion notice received. 10-day protest clock starts.
Day 3    Preaward debriefing request deadline CLOSES (FAR 15.206-2).
Day 8    Offeror requests debriefing (untimely) AND files GAO protest.
         → Agency must confirm GAO notice and halt award proceedings.
         → Pre-award stay (FAR 33.104(b)) in effect.
         → CO notifies OGC, NIH PCO, SSA.
Day 9    Copy of protest due to agency from protester (within 1 day of
         GAO filing per 4 CFR § 21.1(e)).
Day 10   10-day protest clock expires (protest was timely).
+30 days Agency Report due to GAO.
+100 days GAO issues decision (standard track).
         [Express option: 65 days, if requested within 5 days of filing]
VIII. Key Risk Flags for the CO
🚩 The protest filed simultaneously with the debriefing request is timely — do not assume it can be defeated on timeliness grounds. Day 8 is within 10 days.
🚩 No required preaward debriefing exists — the 3-day window closed. If you provide one voluntarily, ensure source-selection-sensitive information (per FAR 15.206-2/15.301-1(d)) is not disclosed and get OGC sign-off on content.
🚩 If this is a SBIR under BAA authority, verify debriefing requirements apply at all — BAA competitions may follow different procedures.
🚩 Peer review documentation for the SBIR must be comprehensive in the agency report. Missing or thin scientific review records are a common vulnerability in R&amp;D protest agency reports.
🚩 Consult OGC before deciding whether to override the stay — the pre-award "urgent/compelling" standard requires HCA + DASAMP, and is rarely met absent a genuine mission-critical emergency. Prematurely awarding during a pending protest is itself a serious procurement irregularity.</t>
  </si>
  <si>
    <t>were coming back to the original questions. how to start that discussion - we told eagle we wanted to buy cloud services and it shot out a quick SOW with only a few questions. not bad. but we think about what if i went to price it and it was too expensive and I had to go backwards. we have those multiple points of entry and balance before we can get to the end of the document workflow. we used to come in with figuring out the background and objectives etc. that was a good approach but it did sometimes get distracted and chat theory forever. hard to tune.</t>
  </si>
  <si>
    <t>This is a really well-framed design problem. What you're describing is essentially a constraint-first vs. requirements-first sequencing issue, and it's the central tension in any acquisition assistant workflow.
The core failure mode you're identifying: EAGLE captured what the user wants but not what the user can actually afford, so the SOW it generated is technically correct but financially unanchored. When the IGCE comes back too high, the whole thing has to be re-scoped — which means the SOW was essentially a draft of a draft.
The way I'd frame the discussion for the team:
Before EAGLE generates any document, it needs to capture what I'd call the three walls of the box — budget ceiling, delivery timeline, and must-have vs. nice-to-have scope. Those aren't acquisition questions, they're constraints that determine what the acquisition can even look like. Right now EAGLE is building inside the box before knowing where the walls are.
The design question then becomes: what's the minimum viable checkpoint set between "I want to buy X" and "here's your SOW"?
Something like:
What's the mission need? (one or two sentences)
What's your budget ceiling? (hard stop — if they don't know, EAGLE coaches them)
What's your must-have vs. flexible scope? (light prioritization)
Lightweight scope summary → user confirms → then generate the SOW
That last step is key — the scope summary as a validation gate before full document generation prevents the expensive rework cycle you're describing.
On the Background/Objectives problem: the reason it drifted into theory is that it had no exit condition. The question was open-ended with no defined "done." If you rebuild that approach, you need a hard output — something like "generate a three-sentence scope statement" — so EAGLE has a concrete goal that ends the conversation rather than continuing it indefinitely.
What's the team's current thinking on how many questions is "too many" before first document 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</si>
</sst>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4"/>
      <color theme="1"/>
      <name val="Aptos Narrow"/>
      <family val="2"/>
      <scheme val="minor"/>
    </font>
    <font>
      <sz val="12"/>
      <color theme="1"/>
      <name val="Aptos Narrow"/>
      <family val="2"/>
      <scheme val="minor"/>
    </font>
    <font>
      <sz val="12"/>
      <color rgb="FFFF0000"/>
      <name val="Aptos Narrow"/>
      <family val="2"/>
      <scheme val="minor"/>
    </font>
    <font>
      <sz val="8"/>
      <name val="Aptos Narrow"/>
      <family val="2"/>
      <scheme val="minor"/>
    </font>
    <font>
      <b/>
      <sz val="14"/>
      <name val="Aptos Narrow"/>
      <family val="2"/>
      <scheme val="minor"/>
    </font>
    <font>
      <sz val="12"/>
      <name val="Aptos Narrow"/>
      <family val="2"/>
      <scheme val="minor"/>
    </font>
    <font>
      <sz val="11"/>
      <name val="Aptos Narrow"/>
      <family val="2"/>
      <scheme val="minor"/>
    </font>
    <font>
      <b/>
      <sz val="11"/>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1" xfId="0" applyFont="1" applyBorder="1" applyAlignment="1">
      <alignment wrapText="1"/>
    </xf>
    <xf numFmtId="0" fontId="1" fillId="0" borderId="0" xfId="0" applyFont="1" applyAlignment="1">
      <alignment wrapText="1"/>
    </xf>
    <xf numFmtId="0" fontId="2" fillId="0" borderId="1" xfId="0" applyFont="1" applyBorder="1" applyAlignment="1">
      <alignment wrapText="1"/>
    </xf>
    <xf numFmtId="0" fontId="2" fillId="0" borderId="0" xfId="0" applyFont="1" applyAlignment="1">
      <alignment wrapText="1"/>
    </xf>
    <xf numFmtId="0" fontId="0" fillId="0" borderId="0" xfId="0" applyAlignment="1">
      <alignment wrapText="1"/>
    </xf>
    <xf numFmtId="0" fontId="2" fillId="2" borderId="1" xfId="0" applyFont="1" applyFill="1" applyBorder="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5" fillId="0" borderId="1" xfId="0" applyFont="1" applyBorder="1" applyAlignment="1">
      <alignment wrapText="1"/>
    </xf>
    <xf numFmtId="0" fontId="7" fillId="0" borderId="0" xfId="0" applyFont="1" applyAlignment="1">
      <alignment wrapText="1"/>
    </xf>
    <xf numFmtId="0" fontId="6" fillId="5" borderId="1" xfId="0" applyFont="1" applyFill="1" applyBorder="1" applyAlignment="1">
      <alignment wrapText="1"/>
    </xf>
    <xf numFmtId="0" fontId="3" fillId="5" borderId="1" xfId="0" applyFont="1" applyFill="1" applyBorder="1" applyAlignment="1">
      <alignment wrapText="1"/>
    </xf>
    <xf numFmtId="0" fontId="2" fillId="5" borderId="1" xfId="0" applyFont="1" applyFill="1" applyBorder="1" applyAlignment="1">
      <alignment wrapText="1"/>
    </xf>
    <xf numFmtId="0" fontId="6" fillId="4" borderId="1" xfId="0" applyFont="1" applyFill="1" applyBorder="1" applyAlignment="1">
      <alignment wrapText="1"/>
    </xf>
    <xf numFmtId="0" fontId="0" fillId="0" borderId="0" xfId="0" pivotButton="1"/>
    <xf numFmtId="0" fontId="0" fillId="0" borderId="0" xfId="0" applyAlignment="1">
      <alignment horizontal="left"/>
    </xf>
    <xf numFmtId="0" fontId="0" fillId="0" borderId="0" xfId="0" applyAlignment="1">
      <alignment horizontal="left" indent="1"/>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 Ingrid (NIH/NCI) [C]" refreshedDate="46076.633093750002" createdVersion="8" refreshedVersion="8" minRefreshableVersion="3" recordCount="31" xr:uid="{A9D9F822-AD5D-477E-A727-C10F7AE3A7ED}">
  <cacheSource type="worksheet">
    <worksheetSource ref="A1:J32" sheet="use case list"/>
  </cacheSource>
  <cacheFields count="10">
    <cacheField name="Use Case No" numFmtId="0">
      <sharedItems/>
    </cacheField>
    <cacheField name="MVP" numFmtId="0">
      <sharedItems count="4">
        <s v="MVP1"/>
        <s v="MVP2"/>
        <s v="MVP3"/>
        <s v="MVP 1"/>
      </sharedItems>
    </cacheField>
    <cacheField name="Use Case Name" numFmtId="0">
      <sharedItems/>
    </cacheField>
    <cacheField name="User" numFmtId="0">
      <sharedItems/>
    </cacheField>
    <cacheField name="Scenario" numFmtId="0">
      <sharedItems/>
    </cacheField>
    <cacheField name="Outcome" numFmtId="0">
      <sharedItems/>
    </cacheField>
    <cacheField name="Role" numFmtId="0">
      <sharedItems count="11">
        <s v="SUPERVISOR"/>
        <s v="COMPLIANCE STRATEGIST"/>
        <s v="LEGAL COUNSELOR"/>
        <s v="FINANCIAL ADVISOR"/>
        <s v="MARKET INTELLIGENCE"/>
        <s v="TECHNICAL TRANSLATOR"/>
        <s v="PUBLIC INTEREST GUARDIAN"/>
        <s v="POLICY SUPERVISOR"/>
        <s v="POLICY LIBRARIAN"/>
        <s v="POLICY ANALYST"/>
        <s v="CROSS-ROLE"/>
      </sharedItems>
    </cacheField>
    <cacheField name="Threshold" numFmtId="0">
      <sharedItems/>
    </cacheField>
    <cacheField name="FAR Part" numFmtId="0">
      <sharedItems/>
    </cacheField>
    <cacheField name="Valu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s v="Use Case 1"/>
    <x v="0"/>
    <s v=" New IT Services Acquisition — Full Package Generation"/>
    <s v="COR at NCI"/>
    <s v="Acquisition of cloud hosting services; estimated value $750K"/>
    <s v="Complete pre-award file generated in 30 minutes instead of 2 weeks"/>
    <x v="0"/>
    <s v="Above SAT"/>
    <s v="FAR Part 15"/>
    <s v="$750K"/>
  </r>
  <r>
    <s v="Use Case 2"/>
    <x v="0"/>
    <s v=" Rapid GSA Schedule Purchase "/>
    <s v="COR needing lab equipment"/>
    <s v="$45K microscope; urgent need; believes GSA Schedule covers it"/>
    <s v="Simplified acquisition package, same-day submission to CO"/>
    <x v="0"/>
    <s v="Below SAT"/>
    <s v="FAR Part 8"/>
    <s v="$45K"/>
  </r>
  <r>
    <s v="Use Case 2.1"/>
    <x v="0"/>
    <s v=" Rapid GSA Schedule Purchase – Micro Purchase scenario"/>
    <s v="COR needing lab equipment"/>
    <s v="$15K microscope; urgent need; believes GSA Schedule covers it"/>
    <s v="Micro purchase package, same-day submission to CO"/>
    <x v="0"/>
    <s v="micro purchase"/>
    <s v="FAR Part 8"/>
    <s v="$14K"/>
  </r>
  <r>
    <s v="Use Case 3"/>
    <x v="0"/>
    <s v=" Sole Source Justification &lt;SAT"/>
    <s v="COR with technical requirement only one vendor can meet"/>
    <s v="$280K software maintenance; only original manufacturer qualified"/>
    <s v="Defensible sole-source package with documented protest mitigation"/>
    <x v="0"/>
    <s v="Below SAT"/>
    <s v="FAR Part 6"/>
    <s v="$280K"/>
  </r>
  <r>
    <s v="Use Case 4"/>
    <x v="0"/>
    <s v=" FAR Part 15 Competitive Range Determination"/>
    <s v="COR"/>
    <s v="Do we have to keep all offerors in competitive range?"/>
    <s v="Clear regulatory explanation with practical guidance"/>
    <x v="1"/>
    <s v="N/A"/>
    <s v="FAR Part 15"/>
    <s v="N/A"/>
  </r>
  <r>
    <s v="Use Case 5"/>
    <x v="1"/>
    <s v=" Buy American Act (BAA) / Trade Agreements Act (TAA) Compliance"/>
    <s v="COR acquiring foreign-manufactured equipment"/>
    <s v="Italian-manufactured research instrument, $150K"/>
    <s v="Compliant approach with specific solicitation language"/>
    <x v="1"/>
    <s v="Below SAT"/>
    <s v="FAR Part 25"/>
    <s v="$150K"/>
  </r>
  <r>
    <s v="Use Case 6"/>
    <x v="1"/>
    <s v=" NIH Policy Interpretation — Consultant Rates"/>
    <s v="COR"/>
    <s v="Whether $400/hour consultant rate is allowable"/>
    <s v="Policy-compliant process for consultant rate determination"/>
    <x v="1"/>
    <s v="N/A"/>
    <s v="NIH Policy"/>
    <s v="N/A"/>
  </r>
  <r>
    <s v="Use Case 7"/>
    <x v="2"/>
    <s v=" Pre-Award Protest Risk Assessment"/>
    <s v="CO asks EAGLE to review Draft RFP for protest vulnerability"/>
    <s v="$5M R&amp;D services, multiple evaluation factors"/>
    <s v="Protest-hardened solicitation before release"/>
    <x v="2"/>
    <s v="Above SAT"/>
    <s v="FAR Part 15"/>
    <s v="$5M"/>
  </r>
  <r>
    <s v="Use Case 8"/>
    <x v="2"/>
    <s v=" Active GAO Protest Response Support"/>
    <s v="CO has received GAO protest, needs to understand stay provisions"/>
    <s v="Evaluation protest prior to award"/>
    <s v="Legally sound protest response process"/>
    <x v="2"/>
    <s v="Above SAT"/>
    <s v="31 U.S.C. §3553"/>
    <s v="N/A"/>
  </r>
  <r>
    <s v="Use Case 9"/>
    <x v="2"/>
    <s v=" Data Rights Determination"/>
    <s v="COR developing AI/ML software contract, unclear what rights government needs"/>
    <s v="$1.2M AI/ML development contract"/>
    <s v="Balanced data rights strategy protecting both interests"/>
    <x v="2"/>
    <s v="Above SAT"/>
    <s v="FAR 52.227-14"/>
    <s v="$1.2M"/>
  </r>
  <r>
    <s v="Use Case 10"/>
    <x v="0"/>
    <s v=" IGCE Development for Complex Services"/>
    <s v="COR needs IGCE for clinical research support services"/>
    <s v="Multiple labor categories, ODCs, 3-year period"/>
    <s v="Defensible IGCE supporting cost realism evaluation"/>
    <x v="3"/>
    <s v="N/A"/>
    <s v="FAR Part 15"/>
    <s v="N/A"/>
  </r>
  <r>
    <s v="Use Case 11"/>
    <x v="1"/>
    <s v=" Fiscal Law — Bona Fide Needs Rule"/>
    <s v="COR"/>
    <s v="Use of FY26 funds for training in October FY27"/>
    <s v="Compliant funding strategy with documented rationale"/>
    <x v="3"/>
    <s v="N/A"/>
    <s v="31 U.S.C. §1502"/>
    <s v="N/A"/>
  </r>
  <r>
    <s v="Use Case 12"/>
    <x v="1"/>
    <s v=" Cost Realism vs. Price Reasonableness"/>
    <s v="COR"/>
    <s v="Which analysis applies to FFP contract"/>
    <s v="Correct evaluation method applied"/>
    <x v="3"/>
    <s v="N/A"/>
    <s v="FAR Part 15"/>
    <s v="N/A"/>
  </r>
  <r>
    <s v="Use Case 13"/>
    <x v="0"/>
    <s v=" Small Business Set-Aside Determination"/>
    <s v="COR"/>
    <s v="$450K IT services requirement"/>
    <s v="Rule of two satisfied, compliant set-aside decision"/>
    <x v="4"/>
    <s v="Above SAT"/>
    <s v="FAR Part 19"/>
    <s v="$450K"/>
  </r>
  <r>
    <s v="Use Case 14"/>
    <x v="1"/>
    <s v=" GSA Schedule vs. Full Competition Analysis"/>
    <s v="COR"/>
    <s v="$600K services acquisition approach decision"/>
    <s v="Justified acquisition strategy with time/cost analysis"/>
    <x v="4"/>
    <s v="Above SAT"/>
    <s v="FAR Part 8 / 15"/>
    <s v="$600K"/>
  </r>
  <r>
    <s v="Use Case 15"/>
    <x v="1"/>
    <s v=" Pricing Benchmark Analysis"/>
    <s v="COR"/>
    <s v="$185/hr senior analyst labor rate"/>
    <s v="Data-driven price negotiation position"/>
    <x v="4"/>
    <s v="N/A"/>
    <s v="FAR Part 15"/>
    <s v="N/A"/>
  </r>
  <r>
    <s v="Use Case 16"/>
    <x v="0"/>
    <s v=" Converting Technical Requirements to Contract Language"/>
    <s v="Program scientist provides 8-page technical spec with jargon"/>
    <s v="Genomic sequencing services"/>
    <s v="SOW that technical and acquisition staff both understand"/>
    <x v="5"/>
    <s v="N/A"/>
    <s v="FAR Part 11"/>
    <s v="N/A"/>
  </r>
  <r>
    <s v="Use Case 17"/>
    <x v="1"/>
    <s v=" Agile Software Development SOW"/>
    <s v="COR"/>
    <s v="Agile software development acquisition"/>
    <s v="Agile-compatible SOW within FAR framework"/>
    <x v="5"/>
    <s v="N/A"/>
    <s v="FAR Part 39"/>
    <s v="N/A"/>
  </r>
  <r>
    <s v="Use Case 18"/>
    <x v="2"/>
    <s v=" Organizational Conflict of Interest (OCI) Assessment"/>
    <s v="COR concerned that contractor helping write SOW could compete"/>
    <s v="$2M systems engineering contract"/>
    <s v="Legally defensible OCI mitigation approach"/>
    <x v="6"/>
    <s v="Above SAT"/>
    <s v="FAR Part 9"/>
    <s v="$2M"/>
  </r>
  <r>
    <s v="Use Case 19"/>
    <x v="2"/>
    <s v=" Ethics Review — Potential Appearance Issue"/>
    <s v="COR notes that one expected offeror employs former NIH employee"/>
    <s v="Former government employee left 18 months ago"/>
    <s v="Ethics risk identified and escalated appropriately"/>
    <x v="6"/>
    <s v="N/A"/>
    <s v="18 U.S.C. §207"/>
    <s v="N/A"/>
  </r>
  <r>
    <s v="Use Case 20"/>
    <x v="2"/>
    <s v=" Transparency and Documentation for High-Visibility Acquisition"/>
    <s v="CO notes this $15M contract will likely get congressional attention"/>
    <s v="COVID research services"/>
    <s v="Acquisition structured for transparency and accountability"/>
    <x v="6"/>
    <s v="Above SAT"/>
    <s v="FAR Part 15"/>
    <s v="$15M"/>
  </r>
  <r>
    <s v="Use Case 21"/>
    <x v="2"/>
    <s v=" Policy Question Routing"/>
    <s v="Policy staff"/>
    <s v="Are acquisition templates up to date with FAC 2025-06?"/>
    <s v="Actionable KB maintenance task list"/>
    <x v="7"/>
    <s v="N/A"/>
    <s v="FAC 2025-06"/>
    <s v="N/A"/>
  </r>
  <r>
    <s v="Use Case 22"/>
    <x v="2"/>
    <s v=" Cross-Specialist Coordination"/>
    <s v="Policy staff"/>
    <s v="What do CORs struggle with most in sole source justifications?"/>
    <s v="Strategic policy improvement recommendation"/>
    <x v="7"/>
    <s v="N/A"/>
    <s v="FAR Part 6"/>
    <s v="N/A"/>
  </r>
  <r>
    <s v="Use Case 23"/>
    <x v="2"/>
    <s v=" Contradiction Detection Audit"/>
    <s v="Policy staff"/>
    <s v="Are acquisition templates up to date with FAC 2025-06?"/>
    <s v="Specific, actionable KB corrections"/>
    <x v="8"/>
    <s v="N/A"/>
    <s v="FAC 2025-06"/>
    <s v="N/A"/>
  </r>
  <r>
    <s v="Use Case 24"/>
    <x v="2"/>
    <s v=" Coverage Gap Analysis"/>
    <s v="Policy staff"/>
    <s v="Are acquisition templates up to date with FAC 2025-06?"/>
    <s v="Strategic KB development roadmap"/>
    <x v="8"/>
    <s v="N/A"/>
    <s v="FAR Part 12"/>
    <s v="N/A"/>
  </r>
  <r>
    <s v="Use Case 25"/>
    <x v="2"/>
    <s v=" Staleness Detection – Regulatory Changes"/>
    <s v="Policy staff"/>
    <s v="What KB content is at risk of being outdated?"/>
    <s v="Proactive KB maintenance schedule"/>
    <x v="8"/>
    <s v="N/A"/>
    <s v="FAC Updates"/>
    <s v="N/A"/>
  </r>
  <r>
    <s v="Use Case 26"/>
    <x v="2"/>
    <s v=" Regulatory Change Impact Assessment"/>
    <s v="Policy staff"/>
    <s v="FAC 2026-01 impact on NIH acquisitions"/>
    <s v="Comprehensive regulatory change management plan"/>
    <x v="9"/>
    <s v="N/A"/>
    <s v="FAC 2026-01"/>
    <s v="N/A"/>
  </r>
  <r>
    <s v="Use Case 27"/>
    <x v="2"/>
    <s v=" CO Review Pattern Analysis"/>
    <s v="Policy staff"/>
    <s v="CO review rejection patterns"/>
    <s v="Evidence-based training and system improvements"/>
    <x v="9"/>
    <s v="N/A"/>
    <s v="FAR Part 15"/>
    <s v="N/A"/>
  </r>
  <r>
    <s v="Use Case 28"/>
    <x v="2"/>
    <s v=" Emerging Trend Analysis – AI Acquisitions"/>
    <s v="Policy staff"/>
    <s v="Need for AI/ML acquisition guidance"/>
    <s v="Strategic KB expansion aligned with mission needs"/>
    <x v="9"/>
    <s v="N/A"/>
    <s v="AI EO / FAR"/>
    <s v="N/A"/>
  </r>
  <r>
    <s v="Use Case 29"/>
    <x v="3"/>
    <s v=" End-to-End Acquisition Support"/>
    <s v="COR starting new $3.5M R&amp;D services acquisition"/>
    <s v="Complex multi-phase requirement"/>
    <s v="Comprehensive $3.5M acquisition package with all regulatory requirements addressed"/>
    <x v="10"/>
    <s v="Above SAT"/>
    <s v="Multiple"/>
    <s v="$3.5M"/>
  </r>
  <r>
    <s v="Use Case 30"/>
    <x v="1"/>
    <s v=" Crisis Acquisition Support"/>
    <s v="COR needs to rapidly acquire pandemic research supplies"/>
    <s v="Urgent need, limited competition, high visibility"/>
    <s v="Fastest compliant acquisition approach with documented risks"/>
    <x v="10"/>
    <s v="Above SAT"/>
    <s v="FAR Part 6 / 18"/>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E481BD-F8C7-4257-8E9C-4A0B5B9BC4BE}" name="PivotTable2" cacheId="15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22" firstHeaderRow="1" firstDataRow="1" firstDataCol="1"/>
  <pivotFields count="10">
    <pivotField dataField="1" showAll="0"/>
    <pivotField axis="axisRow" showAll="0">
      <items count="5">
        <item x="3"/>
        <item x="0"/>
        <item x="1"/>
        <item x="2"/>
        <item t="default"/>
      </items>
    </pivotField>
    <pivotField showAll="0"/>
    <pivotField showAll="0"/>
    <pivotField showAll="0"/>
    <pivotField showAll="0"/>
    <pivotField axis="axisRow" showAll="0">
      <items count="12">
        <item x="1"/>
        <item x="10"/>
        <item x="3"/>
        <item x="2"/>
        <item x="4"/>
        <item x="9"/>
        <item x="8"/>
        <item x="7"/>
        <item x="6"/>
        <item x="0"/>
        <item x="5"/>
        <item t="default"/>
      </items>
    </pivotField>
    <pivotField showAll="0"/>
    <pivotField showAll="0"/>
    <pivotField showAll="0"/>
  </pivotFields>
  <rowFields count="2">
    <field x="1"/>
    <field x="6"/>
  </rowFields>
  <rowItems count="21">
    <i>
      <x/>
    </i>
    <i r="1">
      <x v="1"/>
    </i>
    <i>
      <x v="1"/>
    </i>
    <i r="1">
      <x/>
    </i>
    <i r="1">
      <x v="2"/>
    </i>
    <i r="1">
      <x v="4"/>
    </i>
    <i r="1">
      <x v="9"/>
    </i>
    <i r="1">
      <x v="10"/>
    </i>
    <i>
      <x v="2"/>
    </i>
    <i r="1">
      <x/>
    </i>
    <i r="1">
      <x v="1"/>
    </i>
    <i r="1">
      <x v="2"/>
    </i>
    <i r="1">
      <x v="4"/>
    </i>
    <i r="1">
      <x v="10"/>
    </i>
    <i>
      <x v="3"/>
    </i>
    <i r="1">
      <x v="3"/>
    </i>
    <i r="1">
      <x v="5"/>
    </i>
    <i r="1">
      <x v="6"/>
    </i>
    <i r="1">
      <x v="7"/>
    </i>
    <i r="1">
      <x v="8"/>
    </i>
    <i t="grand">
      <x/>
    </i>
  </rowItems>
  <colItems count="1">
    <i/>
  </colItems>
  <dataFields count="1">
    <dataField name="Count of Use Case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7ADEA-116C-4D51-BAA5-5BF4EEFC9F62}">
  <dimension ref="A1:L32"/>
  <sheetViews>
    <sheetView zoomScaleNormal="100" workbookViewId="0">
      <selection activeCell="C12" sqref="C12"/>
    </sheetView>
  </sheetViews>
  <sheetFormatPr defaultColWidth="33" defaultRowHeight="14.65"/>
  <cols>
    <col min="1" max="1" width="15.42578125" style="5" customWidth="1"/>
    <col min="2" max="2" width="7.7109375" style="10" customWidth="1"/>
    <col min="3" max="3" width="49.42578125" style="10" customWidth="1"/>
    <col min="4" max="16384" width="33" style="5"/>
  </cols>
  <sheetData>
    <row r="1" spans="1:12" s="2" customFormat="1" ht="18.399999999999999">
      <c r="A1" s="1" t="s">
        <v>0</v>
      </c>
      <c r="B1" s="9" t="s">
        <v>1</v>
      </c>
      <c r="C1" s="9" t="s">
        <v>2</v>
      </c>
      <c r="D1" s="1" t="s">
        <v>3</v>
      </c>
      <c r="E1" s="1" t="s">
        <v>4</v>
      </c>
      <c r="F1" s="1" t="s">
        <v>5</v>
      </c>
      <c r="G1" s="1" t="s">
        <v>6</v>
      </c>
      <c r="H1" s="1" t="s">
        <v>7</v>
      </c>
      <c r="I1" s="1" t="s">
        <v>8</v>
      </c>
      <c r="J1" s="1" t="s">
        <v>9</v>
      </c>
    </row>
    <row r="2" spans="1:12" s="4" customFormat="1" ht="31.7">
      <c r="A2" s="12" t="s">
        <v>10</v>
      </c>
      <c r="B2" s="11" t="s">
        <v>11</v>
      </c>
      <c r="C2" s="11" t="s">
        <v>12</v>
      </c>
      <c r="D2" s="3" t="s">
        <v>13</v>
      </c>
      <c r="E2" s="3" t="s">
        <v>14</v>
      </c>
      <c r="F2" s="3" t="s">
        <v>15</v>
      </c>
      <c r="G2" s="3" t="s">
        <v>16</v>
      </c>
      <c r="H2" s="3" t="s">
        <v>17</v>
      </c>
      <c r="I2" s="3" t="s">
        <v>18</v>
      </c>
      <c r="J2" s="3" t="s">
        <v>19</v>
      </c>
    </row>
    <row r="3" spans="1:12" s="4" customFormat="1" ht="31.7">
      <c r="A3" s="12" t="s">
        <v>20</v>
      </c>
      <c r="B3" s="11" t="s">
        <v>11</v>
      </c>
      <c r="C3" s="11" t="s">
        <v>21</v>
      </c>
      <c r="D3" s="3" t="s">
        <v>22</v>
      </c>
      <c r="E3" s="3" t="s">
        <v>23</v>
      </c>
      <c r="F3" s="3" t="s">
        <v>24</v>
      </c>
      <c r="G3" s="3" t="s">
        <v>16</v>
      </c>
      <c r="H3" s="3" t="s">
        <v>25</v>
      </c>
      <c r="I3" s="3" t="s">
        <v>26</v>
      </c>
      <c r="J3" s="3" t="s">
        <v>27</v>
      </c>
    </row>
    <row r="4" spans="1:12" s="4" customFormat="1" ht="31.7">
      <c r="A4" s="12" t="s">
        <v>28</v>
      </c>
      <c r="B4" s="11" t="s">
        <v>11</v>
      </c>
      <c r="C4" s="11" t="s">
        <v>29</v>
      </c>
      <c r="D4" s="6" t="s">
        <v>22</v>
      </c>
      <c r="E4" s="6" t="s">
        <v>30</v>
      </c>
      <c r="F4" s="6" t="s">
        <v>31</v>
      </c>
      <c r="G4" s="3" t="s">
        <v>16</v>
      </c>
      <c r="H4" s="3" t="s">
        <v>32</v>
      </c>
      <c r="I4" s="3" t="s">
        <v>26</v>
      </c>
      <c r="J4" s="3" t="s">
        <v>33</v>
      </c>
    </row>
    <row r="5" spans="1:12" s="4" customFormat="1" ht="31.7">
      <c r="A5" s="12" t="s">
        <v>34</v>
      </c>
      <c r="B5" s="11" t="s">
        <v>11</v>
      </c>
      <c r="C5" s="11" t="s">
        <v>35</v>
      </c>
      <c r="D5" s="3" t="s">
        <v>36</v>
      </c>
      <c r="E5" s="3" t="s">
        <v>37</v>
      </c>
      <c r="F5" s="3" t="s">
        <v>38</v>
      </c>
      <c r="G5" s="3" t="s">
        <v>16</v>
      </c>
      <c r="H5" s="3" t="s">
        <v>25</v>
      </c>
      <c r="I5" s="3" t="s">
        <v>39</v>
      </c>
      <c r="J5" s="3" t="s">
        <v>40</v>
      </c>
    </row>
    <row r="6" spans="1:12" s="4" customFormat="1" ht="31.7">
      <c r="A6" s="13" t="s">
        <v>41</v>
      </c>
      <c r="B6" s="11" t="s">
        <v>11</v>
      </c>
      <c r="C6" s="11" t="s">
        <v>42</v>
      </c>
      <c r="D6" s="3" t="s">
        <v>43</v>
      </c>
      <c r="E6" s="3" t="s">
        <v>44</v>
      </c>
      <c r="F6" s="3" t="s">
        <v>45</v>
      </c>
      <c r="G6" s="3" t="s">
        <v>46</v>
      </c>
      <c r="H6" s="3" t="s">
        <v>47</v>
      </c>
      <c r="I6" s="3" t="s">
        <v>18</v>
      </c>
      <c r="J6" s="3" t="s">
        <v>47</v>
      </c>
    </row>
    <row r="7" spans="1:12" s="4" customFormat="1" ht="31.7">
      <c r="A7" s="8" t="s">
        <v>48</v>
      </c>
      <c r="B7" s="14" t="s">
        <v>49</v>
      </c>
      <c r="C7" s="14" t="s">
        <v>50</v>
      </c>
      <c r="D7" s="3" t="s">
        <v>51</v>
      </c>
      <c r="E7" s="3" t="s">
        <v>52</v>
      </c>
      <c r="F7" s="3" t="s">
        <v>53</v>
      </c>
      <c r="G7" s="3" t="s">
        <v>46</v>
      </c>
      <c r="H7" s="3" t="s">
        <v>25</v>
      </c>
      <c r="I7" s="3" t="s">
        <v>54</v>
      </c>
      <c r="J7" s="3" t="s">
        <v>55</v>
      </c>
    </row>
    <row r="8" spans="1:12" s="4" customFormat="1" ht="31.7">
      <c r="A8" s="8" t="s">
        <v>56</v>
      </c>
      <c r="B8" s="14" t="s">
        <v>49</v>
      </c>
      <c r="C8" s="14" t="s">
        <v>57</v>
      </c>
      <c r="D8" s="3" t="s">
        <v>43</v>
      </c>
      <c r="E8" s="3" t="s">
        <v>58</v>
      </c>
      <c r="F8" s="3" t="s">
        <v>59</v>
      </c>
      <c r="G8" s="3" t="s">
        <v>46</v>
      </c>
      <c r="H8" s="3" t="s">
        <v>47</v>
      </c>
      <c r="I8" s="3" t="s">
        <v>60</v>
      </c>
      <c r="J8" s="3" t="s">
        <v>47</v>
      </c>
    </row>
    <row r="9" spans="1:12" s="4" customFormat="1" ht="31.7">
      <c r="A9" s="7" t="s">
        <v>61</v>
      </c>
      <c r="B9" s="7" t="s">
        <v>62</v>
      </c>
      <c r="C9" s="7" t="s">
        <v>63</v>
      </c>
      <c r="D9" s="3" t="s">
        <v>64</v>
      </c>
      <c r="E9" s="3" t="s">
        <v>65</v>
      </c>
      <c r="F9" s="3" t="s">
        <v>66</v>
      </c>
      <c r="G9" s="7" t="s">
        <v>67</v>
      </c>
      <c r="H9" s="3" t="s">
        <v>17</v>
      </c>
      <c r="I9" s="3" t="s">
        <v>18</v>
      </c>
      <c r="J9" s="3" t="s">
        <v>68</v>
      </c>
      <c r="K9" s="4" t="s">
        <v>69</v>
      </c>
      <c r="L9" s="4" t="s">
        <v>70</v>
      </c>
    </row>
    <row r="10" spans="1:12" s="4" customFormat="1" ht="31.7">
      <c r="A10" s="7" t="s">
        <v>71</v>
      </c>
      <c r="B10" s="7" t="s">
        <v>62</v>
      </c>
      <c r="C10" s="7" t="s">
        <v>72</v>
      </c>
      <c r="D10" s="3" t="s">
        <v>73</v>
      </c>
      <c r="E10" s="3" t="s">
        <v>74</v>
      </c>
      <c r="F10" s="6" t="s">
        <v>75</v>
      </c>
      <c r="G10" s="7" t="s">
        <v>67</v>
      </c>
      <c r="H10" s="3" t="s">
        <v>17</v>
      </c>
      <c r="I10" s="3" t="s">
        <v>76</v>
      </c>
      <c r="J10" s="3" t="s">
        <v>47</v>
      </c>
      <c r="L10" s="4" t="s">
        <v>70</v>
      </c>
    </row>
    <row r="11" spans="1:12" s="4" customFormat="1" ht="47.65">
      <c r="A11" s="7" t="s">
        <v>77</v>
      </c>
      <c r="B11" s="7" t="s">
        <v>62</v>
      </c>
      <c r="C11" s="7" t="s">
        <v>78</v>
      </c>
      <c r="D11" s="3" t="s">
        <v>79</v>
      </c>
      <c r="E11" s="3" t="s">
        <v>80</v>
      </c>
      <c r="F11" s="3" t="s">
        <v>81</v>
      </c>
      <c r="G11" s="7" t="s">
        <v>67</v>
      </c>
      <c r="H11" s="3" t="s">
        <v>17</v>
      </c>
      <c r="I11" s="3" t="s">
        <v>82</v>
      </c>
      <c r="J11" s="3" t="s">
        <v>83</v>
      </c>
      <c r="L11" s="4" t="s">
        <v>70</v>
      </c>
    </row>
    <row r="12" spans="1:12" s="4" customFormat="1" ht="31.7">
      <c r="A12" s="12" t="s">
        <v>84</v>
      </c>
      <c r="B12" s="11" t="s">
        <v>11</v>
      </c>
      <c r="C12" s="11" t="s">
        <v>85</v>
      </c>
      <c r="D12" s="3" t="s">
        <v>86</v>
      </c>
      <c r="E12" s="3" t="s">
        <v>87</v>
      </c>
      <c r="F12" s="3" t="s">
        <v>88</v>
      </c>
      <c r="G12" s="3" t="s">
        <v>89</v>
      </c>
      <c r="H12" s="3" t="s">
        <v>47</v>
      </c>
      <c r="I12" s="3" t="s">
        <v>18</v>
      </c>
      <c r="J12" s="3" t="s">
        <v>47</v>
      </c>
    </row>
    <row r="13" spans="1:12" s="4" customFormat="1" ht="31.7">
      <c r="A13" s="8" t="s">
        <v>90</v>
      </c>
      <c r="B13" s="14" t="s">
        <v>49</v>
      </c>
      <c r="C13" s="14" t="s">
        <v>91</v>
      </c>
      <c r="D13" s="3" t="s">
        <v>43</v>
      </c>
      <c r="E13" s="3" t="s">
        <v>92</v>
      </c>
      <c r="F13" s="3" t="s">
        <v>93</v>
      </c>
      <c r="G13" s="3" t="s">
        <v>89</v>
      </c>
      <c r="H13" s="3" t="s">
        <v>47</v>
      </c>
      <c r="I13" s="3" t="s">
        <v>94</v>
      </c>
      <c r="J13" s="3" t="s">
        <v>47</v>
      </c>
    </row>
    <row r="14" spans="1:12" s="4" customFormat="1" ht="31.7">
      <c r="A14" s="8" t="s">
        <v>95</v>
      </c>
      <c r="B14" s="14" t="s">
        <v>49</v>
      </c>
      <c r="C14" s="14" t="s">
        <v>96</v>
      </c>
      <c r="D14" s="3" t="s">
        <v>43</v>
      </c>
      <c r="E14" s="3" t="s">
        <v>97</v>
      </c>
      <c r="F14" s="3" t="s">
        <v>98</v>
      </c>
      <c r="G14" s="3" t="s">
        <v>89</v>
      </c>
      <c r="H14" s="3" t="s">
        <v>47</v>
      </c>
      <c r="I14" s="3" t="s">
        <v>18</v>
      </c>
      <c r="J14" s="3" t="s">
        <v>47</v>
      </c>
    </row>
    <row r="15" spans="1:12" s="4" customFormat="1" ht="31.7">
      <c r="A15" s="13" t="s">
        <v>99</v>
      </c>
      <c r="B15" s="11" t="s">
        <v>11</v>
      </c>
      <c r="C15" s="11" t="s">
        <v>100</v>
      </c>
      <c r="D15" s="3" t="s">
        <v>43</v>
      </c>
      <c r="E15" s="3" t="s">
        <v>101</v>
      </c>
      <c r="F15" s="3" t="s">
        <v>102</v>
      </c>
      <c r="G15" s="3" t="s">
        <v>103</v>
      </c>
      <c r="H15" s="3" t="s">
        <v>17</v>
      </c>
      <c r="I15" s="3" t="s">
        <v>104</v>
      </c>
      <c r="J15" s="3" t="s">
        <v>105</v>
      </c>
    </row>
    <row r="16" spans="1:12" s="4" customFormat="1" ht="31.7">
      <c r="A16" s="8" t="s">
        <v>106</v>
      </c>
      <c r="B16" s="14" t="s">
        <v>49</v>
      </c>
      <c r="C16" s="14" t="s">
        <v>107</v>
      </c>
      <c r="D16" s="3" t="s">
        <v>43</v>
      </c>
      <c r="E16" s="3" t="s">
        <v>108</v>
      </c>
      <c r="F16" s="3" t="s">
        <v>109</v>
      </c>
      <c r="G16" s="3" t="s">
        <v>103</v>
      </c>
      <c r="H16" s="3" t="s">
        <v>17</v>
      </c>
      <c r="I16" s="3" t="s">
        <v>110</v>
      </c>
      <c r="J16" s="3" t="s">
        <v>111</v>
      </c>
    </row>
    <row r="17" spans="1:12" s="4" customFormat="1" ht="31.7">
      <c r="A17" s="8" t="s">
        <v>112</v>
      </c>
      <c r="B17" s="14" t="s">
        <v>49</v>
      </c>
      <c r="C17" s="14" t="s">
        <v>113</v>
      </c>
      <c r="D17" s="3" t="s">
        <v>43</v>
      </c>
      <c r="E17" s="3" t="s">
        <v>114</v>
      </c>
      <c r="F17" s="3" t="s">
        <v>115</v>
      </c>
      <c r="G17" s="3" t="s">
        <v>103</v>
      </c>
      <c r="H17" s="3" t="s">
        <v>47</v>
      </c>
      <c r="I17" s="3" t="s">
        <v>18</v>
      </c>
      <c r="J17" s="3" t="s">
        <v>47</v>
      </c>
    </row>
    <row r="18" spans="1:12" s="4" customFormat="1" ht="31.7">
      <c r="A18" s="13" t="s">
        <v>116</v>
      </c>
      <c r="B18" s="11" t="s">
        <v>11</v>
      </c>
      <c r="C18" s="11" t="s">
        <v>117</v>
      </c>
      <c r="D18" s="3" t="s">
        <v>118</v>
      </c>
      <c r="E18" s="3" t="s">
        <v>119</v>
      </c>
      <c r="F18" s="3" t="s">
        <v>120</v>
      </c>
      <c r="G18" s="3" t="s">
        <v>121</v>
      </c>
      <c r="H18" s="3" t="s">
        <v>47</v>
      </c>
      <c r="I18" s="3" t="s">
        <v>122</v>
      </c>
      <c r="J18" s="3" t="s">
        <v>47</v>
      </c>
    </row>
    <row r="19" spans="1:12" s="4" customFormat="1" ht="31.7">
      <c r="A19" s="8" t="s">
        <v>123</v>
      </c>
      <c r="B19" s="14" t="s">
        <v>49</v>
      </c>
      <c r="C19" s="14" t="s">
        <v>124</v>
      </c>
      <c r="D19" s="3" t="s">
        <v>43</v>
      </c>
      <c r="E19" s="3" t="s">
        <v>125</v>
      </c>
      <c r="F19" s="3" t="s">
        <v>126</v>
      </c>
      <c r="G19" s="3" t="s">
        <v>121</v>
      </c>
      <c r="H19" s="3" t="s">
        <v>47</v>
      </c>
      <c r="I19" s="3" t="s">
        <v>127</v>
      </c>
      <c r="J19" s="3" t="s">
        <v>47</v>
      </c>
    </row>
    <row r="20" spans="1:12" s="4" customFormat="1" ht="31.7">
      <c r="A20" s="7" t="s">
        <v>128</v>
      </c>
      <c r="B20" s="7" t="s">
        <v>62</v>
      </c>
      <c r="C20" s="7" t="s">
        <v>129</v>
      </c>
      <c r="D20" s="3" t="s">
        <v>130</v>
      </c>
      <c r="E20" s="3" t="s">
        <v>131</v>
      </c>
      <c r="F20" s="3" t="s">
        <v>132</v>
      </c>
      <c r="G20" s="7" t="s">
        <v>133</v>
      </c>
      <c r="H20" s="3" t="s">
        <v>17</v>
      </c>
      <c r="I20" s="3" t="s">
        <v>134</v>
      </c>
      <c r="J20" s="3" t="s">
        <v>135</v>
      </c>
      <c r="K20" s="4" t="s">
        <v>69</v>
      </c>
      <c r="L20" s="4" t="s">
        <v>70</v>
      </c>
    </row>
    <row r="21" spans="1:12" s="4" customFormat="1" ht="31.7">
      <c r="A21" s="7" t="s">
        <v>136</v>
      </c>
      <c r="B21" s="7" t="s">
        <v>62</v>
      </c>
      <c r="C21" s="7" t="s">
        <v>137</v>
      </c>
      <c r="D21" s="3" t="s">
        <v>138</v>
      </c>
      <c r="E21" s="3" t="s">
        <v>139</v>
      </c>
      <c r="F21" s="3" t="s">
        <v>140</v>
      </c>
      <c r="G21" s="7" t="s">
        <v>133</v>
      </c>
      <c r="H21" s="3" t="s">
        <v>47</v>
      </c>
      <c r="I21" s="3" t="s">
        <v>141</v>
      </c>
      <c r="J21" s="3" t="s">
        <v>47</v>
      </c>
      <c r="L21" s="4" t="s">
        <v>70</v>
      </c>
    </row>
    <row r="22" spans="1:12" s="4" customFormat="1" ht="31.7">
      <c r="A22" s="7" t="s">
        <v>142</v>
      </c>
      <c r="B22" s="7" t="s">
        <v>62</v>
      </c>
      <c r="C22" s="7" t="s">
        <v>143</v>
      </c>
      <c r="D22" s="3" t="s">
        <v>144</v>
      </c>
      <c r="E22" s="3" t="s">
        <v>145</v>
      </c>
      <c r="F22" s="3" t="s">
        <v>146</v>
      </c>
      <c r="G22" s="7" t="s">
        <v>133</v>
      </c>
      <c r="H22" s="3" t="s">
        <v>17</v>
      </c>
      <c r="I22" s="3" t="s">
        <v>18</v>
      </c>
      <c r="J22" s="3" t="s">
        <v>147</v>
      </c>
      <c r="L22" s="4" t="s">
        <v>70</v>
      </c>
    </row>
    <row r="23" spans="1:12" s="4" customFormat="1" ht="31.7">
      <c r="A23" s="7" t="s">
        <v>148</v>
      </c>
      <c r="B23" s="7" t="s">
        <v>62</v>
      </c>
      <c r="C23" s="7" t="s">
        <v>149</v>
      </c>
      <c r="D23" s="3" t="s">
        <v>150</v>
      </c>
      <c r="E23" s="3" t="s">
        <v>151</v>
      </c>
      <c r="F23" s="3" t="s">
        <v>152</v>
      </c>
      <c r="G23" s="7" t="s">
        <v>153</v>
      </c>
      <c r="H23" s="3" t="s">
        <v>47</v>
      </c>
      <c r="I23" s="3" t="s">
        <v>154</v>
      </c>
      <c r="J23" s="3" t="s">
        <v>47</v>
      </c>
    </row>
    <row r="24" spans="1:12" s="4" customFormat="1" ht="31.7">
      <c r="A24" s="7" t="s">
        <v>155</v>
      </c>
      <c r="B24" s="7" t="s">
        <v>62</v>
      </c>
      <c r="C24" s="7" t="s">
        <v>156</v>
      </c>
      <c r="D24" s="3" t="s">
        <v>150</v>
      </c>
      <c r="E24" s="3" t="s">
        <v>157</v>
      </c>
      <c r="F24" s="3" t="s">
        <v>158</v>
      </c>
      <c r="G24" s="7" t="s">
        <v>153</v>
      </c>
      <c r="H24" s="3" t="s">
        <v>47</v>
      </c>
      <c r="I24" s="3" t="s">
        <v>39</v>
      </c>
      <c r="J24" s="3" t="s">
        <v>47</v>
      </c>
    </row>
    <row r="25" spans="1:12" s="4" customFormat="1" ht="31.7">
      <c r="A25" s="7" t="s">
        <v>159</v>
      </c>
      <c r="B25" s="7" t="s">
        <v>62</v>
      </c>
      <c r="C25" s="7" t="s">
        <v>160</v>
      </c>
      <c r="D25" s="3" t="s">
        <v>150</v>
      </c>
      <c r="E25" s="3" t="s">
        <v>151</v>
      </c>
      <c r="F25" s="3" t="s">
        <v>161</v>
      </c>
      <c r="G25" s="7" t="s">
        <v>162</v>
      </c>
      <c r="H25" s="3" t="s">
        <v>47</v>
      </c>
      <c r="I25" s="3" t="s">
        <v>154</v>
      </c>
      <c r="J25" s="3" t="s">
        <v>47</v>
      </c>
    </row>
    <row r="26" spans="1:12" s="4" customFormat="1" ht="31.7">
      <c r="A26" s="7" t="s">
        <v>163</v>
      </c>
      <c r="B26" s="7" t="s">
        <v>62</v>
      </c>
      <c r="C26" s="7" t="s">
        <v>164</v>
      </c>
      <c r="D26" s="3" t="s">
        <v>150</v>
      </c>
      <c r="E26" s="3" t="s">
        <v>151</v>
      </c>
      <c r="F26" s="3" t="s">
        <v>165</v>
      </c>
      <c r="G26" s="7" t="s">
        <v>162</v>
      </c>
      <c r="H26" s="3" t="s">
        <v>47</v>
      </c>
      <c r="I26" s="3" t="s">
        <v>166</v>
      </c>
      <c r="J26" s="3" t="s">
        <v>47</v>
      </c>
    </row>
    <row r="27" spans="1:12" s="4" customFormat="1" ht="31.7">
      <c r="A27" s="7" t="s">
        <v>167</v>
      </c>
      <c r="B27" s="7" t="s">
        <v>62</v>
      </c>
      <c r="C27" s="7" t="s">
        <v>168</v>
      </c>
      <c r="D27" s="3" t="s">
        <v>150</v>
      </c>
      <c r="E27" s="3" t="s">
        <v>169</v>
      </c>
      <c r="F27" s="3" t="s">
        <v>170</v>
      </c>
      <c r="G27" s="7" t="s">
        <v>162</v>
      </c>
      <c r="H27" s="3" t="s">
        <v>47</v>
      </c>
      <c r="I27" s="3" t="s">
        <v>171</v>
      </c>
      <c r="J27" s="3" t="s">
        <v>47</v>
      </c>
    </row>
    <row r="28" spans="1:12" s="4" customFormat="1" ht="31.7">
      <c r="A28" s="7" t="s">
        <v>172</v>
      </c>
      <c r="B28" s="7" t="s">
        <v>62</v>
      </c>
      <c r="C28" s="7" t="s">
        <v>173</v>
      </c>
      <c r="D28" s="3" t="s">
        <v>150</v>
      </c>
      <c r="E28" s="3" t="s">
        <v>174</v>
      </c>
      <c r="F28" s="3" t="s">
        <v>175</v>
      </c>
      <c r="G28" s="7" t="s">
        <v>176</v>
      </c>
      <c r="H28" s="3" t="s">
        <v>47</v>
      </c>
      <c r="I28" s="3" t="s">
        <v>177</v>
      </c>
      <c r="J28" s="3" t="s">
        <v>47</v>
      </c>
    </row>
    <row r="29" spans="1:12" s="4" customFormat="1" ht="31.7">
      <c r="A29" s="7" t="s">
        <v>178</v>
      </c>
      <c r="B29" s="7" t="s">
        <v>62</v>
      </c>
      <c r="C29" s="7" t="s">
        <v>179</v>
      </c>
      <c r="D29" s="3" t="s">
        <v>150</v>
      </c>
      <c r="E29" s="3" t="s">
        <v>180</v>
      </c>
      <c r="F29" s="3" t="s">
        <v>181</v>
      </c>
      <c r="G29" s="7" t="s">
        <v>176</v>
      </c>
      <c r="H29" s="3" t="s">
        <v>47</v>
      </c>
      <c r="I29" s="3" t="s">
        <v>18</v>
      </c>
      <c r="J29" s="3" t="s">
        <v>47</v>
      </c>
    </row>
    <row r="30" spans="1:12" s="4" customFormat="1" ht="31.7">
      <c r="A30" s="7" t="s">
        <v>182</v>
      </c>
      <c r="B30" s="7" t="s">
        <v>62</v>
      </c>
      <c r="C30" s="7" t="s">
        <v>183</v>
      </c>
      <c r="D30" s="3" t="s">
        <v>150</v>
      </c>
      <c r="E30" s="3" t="s">
        <v>184</v>
      </c>
      <c r="F30" s="3" t="s">
        <v>185</v>
      </c>
      <c r="G30" s="7" t="s">
        <v>176</v>
      </c>
      <c r="H30" s="3" t="s">
        <v>47</v>
      </c>
      <c r="I30" s="3" t="s">
        <v>186</v>
      </c>
      <c r="J30" s="3" t="s">
        <v>47</v>
      </c>
    </row>
    <row r="31" spans="1:12" s="4" customFormat="1" ht="47.65">
      <c r="A31" s="13" t="s">
        <v>187</v>
      </c>
      <c r="B31" s="11" t="s">
        <v>11</v>
      </c>
      <c r="C31" s="11" t="s">
        <v>188</v>
      </c>
      <c r="D31" s="3" t="s">
        <v>189</v>
      </c>
      <c r="E31" s="3" t="s">
        <v>190</v>
      </c>
      <c r="F31" s="3" t="s">
        <v>191</v>
      </c>
      <c r="G31" s="3" t="s">
        <v>192</v>
      </c>
      <c r="H31" s="3" t="s">
        <v>17</v>
      </c>
      <c r="I31" s="3" t="s">
        <v>193</v>
      </c>
      <c r="J31" s="3" t="s">
        <v>194</v>
      </c>
    </row>
    <row r="32" spans="1:12" s="4" customFormat="1" ht="31.7">
      <c r="A32" s="8" t="s">
        <v>195</v>
      </c>
      <c r="B32" s="14" t="s">
        <v>49</v>
      </c>
      <c r="C32" s="14" t="s">
        <v>196</v>
      </c>
      <c r="D32" s="3" t="s">
        <v>197</v>
      </c>
      <c r="E32" s="3" t="s">
        <v>198</v>
      </c>
      <c r="F32" s="3" t="s">
        <v>199</v>
      </c>
      <c r="G32" s="3" t="s">
        <v>192</v>
      </c>
      <c r="H32" s="3" t="s">
        <v>17</v>
      </c>
      <c r="I32" s="3" t="s">
        <v>200</v>
      </c>
      <c r="J32" s="3" t="s">
        <v>47</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83995-DA49-416B-BB23-916BBB1B77BC}">
  <dimension ref="A1:E22"/>
  <sheetViews>
    <sheetView zoomScale="190" zoomScaleNormal="190" workbookViewId="0">
      <selection activeCell="E20" sqref="E20"/>
    </sheetView>
  </sheetViews>
  <sheetFormatPr defaultRowHeight="14.65"/>
  <cols>
    <col min="1" max="1" width="27.85546875" bestFit="1" customWidth="1"/>
    <col min="2" max="2" width="18.7109375" bestFit="1" customWidth="1"/>
    <col min="5" max="5" width="59.42578125" bestFit="1" customWidth="1"/>
  </cols>
  <sheetData>
    <row r="1" spans="1:5">
      <c r="A1" s="15" t="s">
        <v>201</v>
      </c>
      <c r="B1" t="s">
        <v>202</v>
      </c>
    </row>
    <row r="2" spans="1:5">
      <c r="A2" s="16" t="s">
        <v>203</v>
      </c>
      <c r="B2">
        <v>1</v>
      </c>
      <c r="E2" s="18" t="s">
        <v>204</v>
      </c>
    </row>
    <row r="3" spans="1:5">
      <c r="A3" s="17" t="s">
        <v>192</v>
      </c>
      <c r="B3">
        <v>1</v>
      </c>
    </row>
    <row r="4" spans="1:5">
      <c r="A4" s="16" t="s">
        <v>11</v>
      </c>
      <c r="B4">
        <v>8</v>
      </c>
    </row>
    <row r="5" spans="1:5">
      <c r="A5" s="17" t="s">
        <v>46</v>
      </c>
      <c r="B5">
        <v>1</v>
      </c>
    </row>
    <row r="6" spans="1:5">
      <c r="A6" s="17" t="s">
        <v>89</v>
      </c>
      <c r="B6">
        <v>1</v>
      </c>
    </row>
    <row r="7" spans="1:5">
      <c r="A7" s="17" t="s">
        <v>103</v>
      </c>
      <c r="B7">
        <v>1</v>
      </c>
    </row>
    <row r="8" spans="1:5">
      <c r="A8" s="17" t="s">
        <v>16</v>
      </c>
      <c r="B8">
        <v>4</v>
      </c>
    </row>
    <row r="9" spans="1:5">
      <c r="A9" s="17" t="s">
        <v>121</v>
      </c>
      <c r="B9">
        <v>1</v>
      </c>
    </row>
    <row r="10" spans="1:5" ht="29.1">
      <c r="A10" s="16" t="s">
        <v>49</v>
      </c>
      <c r="B10">
        <v>8</v>
      </c>
      <c r="E10" s="5" t="s">
        <v>205</v>
      </c>
    </row>
    <row r="11" spans="1:5">
      <c r="A11" s="17" t="s">
        <v>46</v>
      </c>
      <c r="B11">
        <v>2</v>
      </c>
    </row>
    <row r="12" spans="1:5">
      <c r="A12" s="17" t="s">
        <v>192</v>
      </c>
      <c r="B12">
        <v>1</v>
      </c>
    </row>
    <row r="13" spans="1:5">
      <c r="A13" s="17" t="s">
        <v>89</v>
      </c>
      <c r="B13">
        <v>2</v>
      </c>
    </row>
    <row r="14" spans="1:5">
      <c r="A14" s="17" t="s">
        <v>103</v>
      </c>
      <c r="B14">
        <v>2</v>
      </c>
    </row>
    <row r="15" spans="1:5">
      <c r="A15" s="17" t="s">
        <v>121</v>
      </c>
      <c r="B15">
        <v>1</v>
      </c>
    </row>
    <row r="16" spans="1:5">
      <c r="A16" s="16" t="s">
        <v>62</v>
      </c>
      <c r="B16">
        <v>14</v>
      </c>
    </row>
    <row r="17" spans="1:5">
      <c r="A17" s="17" t="s">
        <v>67</v>
      </c>
      <c r="B17">
        <v>3</v>
      </c>
    </row>
    <row r="18" spans="1:5">
      <c r="A18" s="17" t="s">
        <v>176</v>
      </c>
      <c r="B18">
        <v>3</v>
      </c>
    </row>
    <row r="19" spans="1:5">
      <c r="A19" s="17" t="s">
        <v>162</v>
      </c>
      <c r="B19">
        <v>3</v>
      </c>
    </row>
    <row r="20" spans="1:5">
      <c r="A20" s="17" t="s">
        <v>153</v>
      </c>
      <c r="B20">
        <v>2</v>
      </c>
    </row>
    <row r="21" spans="1:5" ht="43.7">
      <c r="A21" s="17" t="s">
        <v>133</v>
      </c>
      <c r="B21">
        <v>3</v>
      </c>
      <c r="E21" s="5" t="s">
        <v>206</v>
      </c>
    </row>
    <row r="22" spans="1:5">
      <c r="A22" s="16" t="s">
        <v>207</v>
      </c>
      <c r="B22">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8E72-67C4-44E9-855B-83F0D44AC0A7}">
  <dimension ref="A1:G9"/>
  <sheetViews>
    <sheetView tabSelected="1" topLeftCell="A6" workbookViewId="0">
      <selection activeCell="D6" sqref="D6"/>
    </sheetView>
  </sheetViews>
  <sheetFormatPr defaultColWidth="9.28515625" defaultRowHeight="69.95" customHeight="1"/>
  <cols>
    <col min="1" max="3" width="9.28515625" style="5"/>
    <col min="4" max="4" width="79.42578125" style="5" bestFit="1" customWidth="1"/>
    <col min="5" max="5" width="110.42578125" style="5" customWidth="1"/>
    <col min="6" max="6" width="14.85546875" style="5" customWidth="1"/>
    <col min="7" max="7" width="80.42578125" style="5" customWidth="1"/>
    <col min="8" max="16384" width="9.28515625" style="5"/>
  </cols>
  <sheetData>
    <row r="1" spans="1:7" s="2" customFormat="1" ht="69.95" customHeight="1">
      <c r="A1" s="2" t="s">
        <v>208</v>
      </c>
      <c r="B1" s="2" t="s">
        <v>209</v>
      </c>
      <c r="C1" s="2" t="s">
        <v>210</v>
      </c>
      <c r="D1" s="2" t="s">
        <v>211</v>
      </c>
      <c r="E1" s="2" t="s">
        <v>212</v>
      </c>
      <c r="F1" s="2" t="s">
        <v>213</v>
      </c>
    </row>
    <row r="2" spans="1:7" ht="233.1">
      <c r="A2" s="5">
        <v>1</v>
      </c>
      <c r="B2" s="5" t="s">
        <v>214</v>
      </c>
      <c r="C2" s="5" t="s">
        <v>215</v>
      </c>
      <c r="D2" s="5" t="s">
        <v>216</v>
      </c>
      <c r="E2" s="5" t="s">
        <v>217</v>
      </c>
      <c r="F2" s="5" t="s">
        <v>218</v>
      </c>
    </row>
    <row r="3" spans="1:7" ht="409.6">
      <c r="A3" s="5">
        <v>2</v>
      </c>
      <c r="B3" s="5" t="s">
        <v>214</v>
      </c>
      <c r="C3" s="5" t="s">
        <v>215</v>
      </c>
      <c r="D3" s="5" t="s">
        <v>219</v>
      </c>
      <c r="E3" s="5" t="s">
        <v>220</v>
      </c>
      <c r="F3" s="5" t="s">
        <v>221</v>
      </c>
    </row>
    <row r="4" spans="1:7" ht="409.35" customHeight="1">
      <c r="A4" s="5">
        <f>A3+1</f>
        <v>3</v>
      </c>
      <c r="B4" s="5" t="s">
        <v>214</v>
      </c>
      <c r="C4" s="5" t="s">
        <v>215</v>
      </c>
      <c r="D4" s="5" t="s">
        <v>222</v>
      </c>
      <c r="E4" s="5" t="s">
        <v>223</v>
      </c>
      <c r="F4" s="5" t="s">
        <v>224</v>
      </c>
    </row>
    <row r="5" spans="1:7" ht="100.7" customHeight="1">
      <c r="A5" s="5">
        <f t="shared" ref="A5:A9" si="0">A4+1</f>
        <v>4</v>
      </c>
      <c r="B5" s="5" t="s">
        <v>214</v>
      </c>
      <c r="C5" s="5" t="s">
        <v>215</v>
      </c>
      <c r="D5" t="s">
        <v>225</v>
      </c>
      <c r="E5" s="5" t="s">
        <v>226</v>
      </c>
      <c r="F5" s="5" t="s">
        <v>218</v>
      </c>
      <c r="G5" s="5" t="s">
        <v>227</v>
      </c>
    </row>
    <row r="6" spans="1:7" ht="353.1" customHeight="1">
      <c r="A6" s="5">
        <f t="shared" si="0"/>
        <v>5</v>
      </c>
      <c r="B6" s="5" t="s">
        <v>214</v>
      </c>
      <c r="C6" s="5" t="s">
        <v>228</v>
      </c>
      <c r="D6" s="5" t="s">
        <v>229</v>
      </c>
      <c r="E6" s="5" t="s">
        <v>230</v>
      </c>
    </row>
    <row r="7" spans="1:7" ht="159" customHeight="1">
      <c r="A7" s="5">
        <f t="shared" si="0"/>
        <v>6</v>
      </c>
      <c r="B7"/>
      <c r="D7" s="5" t="s">
        <v>231</v>
      </c>
      <c r="E7" s="5" t="s">
        <v>232</v>
      </c>
    </row>
    <row r="8" spans="1:7" ht="69.95" customHeight="1">
      <c r="A8" s="5">
        <f t="shared" si="0"/>
        <v>7</v>
      </c>
    </row>
    <row r="9" spans="1:7" ht="69.95" customHeight="1">
      <c r="A9" s="5">
        <f t="shared" si="0"/>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National Cancer Institute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 Jitong (NIH/NCI) [C]</dc:creator>
  <cp:keywords/>
  <dc:description/>
  <cp:lastModifiedBy>Li, Jitong (NIH/NCI) [C]</cp:lastModifiedBy>
  <cp:revision/>
  <dcterms:created xsi:type="dcterms:W3CDTF">2026-02-10T16:01:25Z</dcterms:created>
  <dcterms:modified xsi:type="dcterms:W3CDTF">2026-03-06T17:36:26Z</dcterms:modified>
  <cp:category/>
  <cp:contentStatus/>
</cp:coreProperties>
</file>